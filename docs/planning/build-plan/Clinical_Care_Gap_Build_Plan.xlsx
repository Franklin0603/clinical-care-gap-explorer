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y Plan" sheetId="2" state="visible" r:id="rId2"/>
    <sheet name="Task Tracker" sheetId="3" state="visible" r:id="rId3"/>
    <sheet name="Decisions" sheetId="4" state="visible" r:id="rId4"/>
    <sheet name="DQ Matrix" sheetId="5" state="visible" r:id="rId5"/>
    <sheet name="Metrics" sheetId="6" state="visible" r:id="rId6"/>
    <sheet name="Learning Log" sheetId="7" state="visible" r:id="rId7"/>
  </sheets>
  <definedNames>
    <definedName name="_xlnm._FilterDatabase" localSheetId="2" hidden="1">'Task Tracker'!$A$4:$H$74</definedName>
    <definedName name="_xlnm._FilterDatabase" localSheetId="6" hidden="1">'Learning Log'!$A$4:$F$25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2933"/>
      <sz val="16"/>
    </font>
    <font>
      <name val="Calibri"/>
      <color rgb="003E4C59"/>
      <sz val="9"/>
    </font>
    <font>
      <name val="Calibri"/>
      <b val="1"/>
      <color rgb="001D4E89"/>
      <sz val="12"/>
    </font>
    <font>
      <name val="Calibri"/>
      <b val="1"/>
      <color rgb="001F2933"/>
      <sz val="10"/>
    </font>
    <font>
      <name val="Calibri"/>
      <color rgb="001F2933"/>
      <sz val="10"/>
    </font>
    <font>
      <name val="Calibri"/>
      <b val="1"/>
      <color rgb="00FFFFFF"/>
      <sz val="10"/>
    </font>
    <font>
      <name val="Consolas"/>
      <color rgb="003E4C59"/>
      <sz val="9"/>
    </font>
    <font>
      <name val="Calibri"/>
      <i val="1"/>
      <color rgb="00B54708"/>
      <sz val="10"/>
    </font>
  </fonts>
  <fills count="5">
    <fill>
      <patternFill/>
    </fill>
    <fill>
      <patternFill patternType="gray125"/>
    </fill>
    <fill>
      <patternFill patternType="solid">
        <fgColor rgb="001D4E89"/>
      </patternFill>
    </fill>
    <fill>
      <patternFill patternType="solid">
        <fgColor rgb="00FFF7E6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D3D9E0"/>
      </left>
      <right style="thin">
        <color rgb="00D3D9E0"/>
      </right>
      <top style="thin">
        <color rgb="00D3D9E0"/>
      </top>
      <bottom style="thin">
        <color rgb="00D3D9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4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9" fontId="4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dxfs count="3">
    <dxf>
      <font>
        <b val="1"/>
        <color rgb="000B6B3A"/>
        <sz val="10"/>
      </font>
      <fill>
        <patternFill patternType="solid">
          <fgColor rgb="00D3F0DC"/>
        </patternFill>
      </fill>
    </dxf>
    <dxf>
      <font>
        <b val="1"/>
        <color rgb="009B1C1C"/>
        <sz val="10"/>
      </font>
      <fill>
        <patternFill patternType="solid">
          <fgColor rgb="00FBD9D3"/>
        </patternFill>
      </fill>
    </dxf>
    <dxf>
      <font>
        <b val="1"/>
        <color rgb="008A5300"/>
        <sz val="10"/>
      </font>
      <fill>
        <patternFill patternType="solid">
          <fgColor rgb="00FDEC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89"/>
    <outlinePr summaryBelow="1" summaryRight="1"/>
    <pageSetUpPr/>
  </sheetPr>
  <dimension ref="B1:C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96" customWidth="1" min="3" max="3"/>
  </cols>
  <sheetData>
    <row r="1">
      <c r="B1" s="1" t="inlineStr">
        <is>
          <t>Clinical Care Gap Explorer — Build Plan</t>
        </is>
      </c>
    </row>
    <row r="2">
      <c r="B2" s="2" t="inlineStr">
        <is>
          <t>You build it. This workbook tells you WHAT to build and HOW YOU'LL KNOW IT'S RIGHT — not how to write the code.</t>
        </is>
      </c>
    </row>
    <row r="4" ht="24" customHeight="1">
      <c r="B4" s="3" t="inlineStr">
        <is>
          <t>How to use this</t>
        </is>
      </c>
    </row>
    <row r="5" ht="30" customHeight="1">
      <c r="B5" s="4" t="inlineStr">
        <is>
          <t>1. Work the Task Tracker top to bottom</t>
        </is>
      </c>
      <c r="C5" s="5" t="inlineStr">
        <is>
          <t>Tasks are ordered by dependency, not importance. Do not jump ahead — Day 3 will not work if Day 1's profiling was skipped.</t>
        </is>
      </c>
    </row>
    <row r="6" ht="30" customHeight="1">
      <c r="B6" s="4" t="inlineStr">
        <is>
          <t>2. Read 'Done when' before you start a task</t>
        </is>
      </c>
      <c r="C6" s="5" t="inlineStr">
        <is>
          <t>That column is the acceptance test. If you can't demonstrate it, the task is not done, no matter how much code you wrote.</t>
        </is>
      </c>
    </row>
    <row r="7" ht="30" customHeight="1">
      <c r="B7" s="4" t="inlineStr">
        <is>
          <t>3. Use the 'Go find out' column, not me</t>
        </is>
      </c>
      <c r="C7" s="5" t="inlineStr">
        <is>
          <t>It names the concept or flag to search for. Looking it up yourself is the part that becomes interview knowledge. Ask me only after you've tried and are stuck on a specific error.</t>
        </is>
      </c>
    </row>
    <row r="8" ht="30" customHeight="1">
      <c r="B8" s="4" t="inlineStr">
        <is>
          <t>4. Log every decision in the Decisions sheet</t>
        </is>
      </c>
      <c r="C8" s="5" t="inlineStr">
        <is>
          <t>Two of them (the cohort definitions) are the most interview-relevant lines in the whole repo. If you can't defend the choice out loud, the project doesn't land.</t>
        </is>
      </c>
    </row>
    <row r="9" ht="30" customHeight="1">
      <c r="B9" s="4" t="inlineStr">
        <is>
          <t>5. Fill the Learning Log at the end of each day</t>
        </is>
      </c>
      <c r="C9" s="5" t="inlineStr">
        <is>
          <t>Rate 1-5 how well you could explain each concept unprompted. Anything at 3 or below is a hole to close before you send the link to anyone.</t>
        </is>
      </c>
    </row>
    <row r="10" ht="8" customHeight="1"/>
    <row r="11" ht="24" customHeight="1">
      <c r="B11" s="3" t="inlineStr">
        <is>
          <t>Ground rules</t>
        </is>
      </c>
    </row>
    <row r="12" ht="30" customHeight="1">
      <c r="B12" s="4" t="inlineStr">
        <is>
          <t>Commit at the end of every day</t>
        </is>
      </c>
      <c r="C12" s="5" t="inlineStr">
        <is>
          <t>A recruiter who opens your repo sees the commit history. Seven days of steady commits reads very differently from one commit called 'initial'.</t>
        </is>
      </c>
    </row>
    <row r="13" ht="30" customHeight="1">
      <c r="B13" s="4" t="inlineStr">
        <is>
          <t>Never commit the Synthea output</t>
        </is>
      </c>
      <c r="C13" s="5" t="inlineStr">
        <is>
          <t>It is regenerable and large. Set up .gitignore in task 1.2, BEFORE you generate data. Removing it from history afterwards is painful.</t>
        </is>
      </c>
    </row>
    <row r="14" ht="30" customHeight="1">
      <c r="B14" s="4" t="inlineStr">
        <is>
          <t>Cut scope, never cut the day</t>
        </is>
      </c>
      <c r="C14" s="5" t="inlineStr">
        <is>
          <t>PRD section 9 says this. If Day 5 runs long, drop a feature and move on. A finished 4-page app beats an unfinished 5-page one.</t>
        </is>
      </c>
    </row>
    <row r="15" ht="30" customHeight="1">
      <c r="B15" s="4" t="inlineStr">
        <is>
          <t>Never write 'HIPAA compliant'</t>
        </is>
      </c>
      <c r="C15" s="5" t="inlineStr">
        <is>
          <t>ACCESS_CONTROL.md is emphatic. The phrase is 'models minimum-necessary access by clinical role.' One wrong word here costs you credibility with anyone who works in health tech.</t>
        </is>
      </c>
    </row>
    <row r="16" ht="30" customHeight="1">
      <c r="B16" s="4" t="inlineStr">
        <is>
          <t>Every number in the README is measured, not estimated</t>
        </is>
      </c>
      <c r="C16" s="5" t="inlineStr">
        <is>
          <t>Row counts, catch rate, cohort size. If you didn't run the query, leave the blank in.</t>
        </is>
      </c>
    </row>
    <row r="17" ht="8" customHeight="1"/>
    <row r="18" ht="24" customHeight="1">
      <c r="B18" s="3" t="inlineStr">
        <is>
          <t>Which doc governs what</t>
        </is>
      </c>
    </row>
    <row r="19" ht="30" customHeight="1">
      <c r="B19" s="4" t="inlineStr">
        <is>
          <t>docs/PRD.md</t>
        </is>
      </c>
      <c r="C19" s="5" t="inlineStr">
        <is>
          <t>Scope. The non-goals list is binding — check it any time you're tempted to add something.</t>
        </is>
      </c>
    </row>
    <row r="20" ht="30" customHeight="1">
      <c r="B20" s="4" t="inlineStr">
        <is>
          <t>docs/DATA_DICTIONARY.md</t>
        </is>
      </c>
      <c r="C20" s="5" t="inlineStr">
        <is>
          <t>Table and column definitions. The cohort definition blanks live at the bottom.</t>
        </is>
      </c>
    </row>
    <row r="21" ht="30" customHeight="1">
      <c r="B21" s="4" t="inlineStr">
        <is>
          <t>docs/DATA_QUALITY_SPEC.md</t>
        </is>
      </c>
      <c r="C21" s="5" t="inlineStr">
        <is>
          <t>The six injected defects, the six checks, and the three tables they produce.</t>
        </is>
      </c>
    </row>
    <row r="22" ht="30" customHeight="1">
      <c r="B22" s="4" t="inlineStr">
        <is>
          <t>docs/ACCESS_CONTROL.md</t>
        </is>
      </c>
      <c r="C22" s="5" t="inlineStr">
        <is>
          <t>Role matrix and the language rules for talking about it publicly.</t>
        </is>
      </c>
    </row>
    <row r="23" ht="30" customHeight="1">
      <c r="B23" s="4" t="inlineStr">
        <is>
          <t>docs/README_TEMPLATE.md</t>
        </is>
      </c>
      <c r="C23" s="5" t="inlineStr">
        <is>
          <t>The blanks you fill on Day 7. Read it on Day 1 so you know what you're collecting.</t>
        </is>
      </c>
    </row>
    <row r="24" ht="8" customHeight="1"/>
    <row r="25" ht="24" customHeight="1">
      <c r="B25" s="3" t="inlineStr">
        <is>
          <t>Sheet guide</t>
        </is>
      </c>
    </row>
    <row r="26" ht="30" customHeight="1">
      <c r="B26" s="4" t="inlineStr">
        <is>
          <t>Day Plan</t>
        </is>
      </c>
      <c r="C26" s="5" t="inlineStr">
        <is>
          <t>The 7-day arc at a glance. One row per day. Read this first.</t>
        </is>
      </c>
    </row>
    <row r="27" ht="30" customHeight="1">
      <c r="B27" s="4" t="inlineStr">
        <is>
          <t>Task Tracker</t>
        </is>
      </c>
      <c r="C27" s="5" t="inlineStr">
        <is>
          <t>Where you actually live. ~55 tasks with done-criteria. Filter by Day.</t>
        </is>
      </c>
    </row>
    <row r="28" ht="30" customHeight="1">
      <c r="B28" s="4" t="inlineStr">
        <is>
          <t>Decisions</t>
        </is>
      </c>
      <c r="C28" s="5" t="inlineStr">
        <is>
          <t>Every judgment call the docs left open. Record your answer AND your reasoning.</t>
        </is>
      </c>
    </row>
    <row r="29" ht="30" customHeight="1">
      <c r="B29" s="4" t="inlineStr">
        <is>
          <t>DQ Matrix</t>
        </is>
      </c>
      <c r="C29" s="5" t="inlineStr">
        <is>
          <t>Injected defects vs. checks. Catch rate calculates itself once you fill the counts.</t>
        </is>
      </c>
    </row>
    <row r="30" ht="30" customHeight="1">
      <c r="B30" s="4" t="inlineStr">
        <is>
          <t>Metrics</t>
        </is>
      </c>
      <c r="C30" s="5" t="inlineStr">
        <is>
          <t>The numbers the README needs. Fill as you measure them.</t>
        </is>
      </c>
    </row>
    <row r="31" ht="30" customHeight="1">
      <c r="B31" s="4" t="inlineStr">
        <is>
          <t>Learning Log</t>
        </is>
      </c>
      <c r="C31" s="5" t="inlineStr">
        <is>
          <t>The interview questions this project should make you able to answer.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4" customWidth="1" min="3" max="3"/>
    <col width="44" customWidth="1" min="4" max="4"/>
    <col width="44" customWidth="1" min="5" max="5"/>
    <col width="6" customWidth="1" min="6" max="6"/>
  </cols>
  <sheetData>
    <row r="1" ht="22" customHeight="1">
      <c r="A1" s="1" t="inlineStr">
        <is>
          <t>The 7-day arc</t>
        </is>
      </c>
    </row>
    <row r="2" ht="30" customHeight="1">
      <c r="A2" s="6" t="inlineStr">
        <is>
          <t>~3 hrs/day. 'Ship gate' is the one thing that must be true before you start the next day.</t>
        </is>
      </c>
    </row>
    <row r="4" ht="30" customHeight="1">
      <c r="A4" s="7" t="inlineStr">
        <is>
          <t>Day</t>
        </is>
      </c>
      <c r="B4" s="7" t="inlineStr">
        <is>
          <t>Theme</t>
        </is>
      </c>
      <c r="C4" s="7" t="inlineStr">
        <is>
          <t>What you build</t>
        </is>
      </c>
      <c r="D4" s="7" t="inlineStr">
        <is>
          <t>Why this order</t>
        </is>
      </c>
      <c r="E4" s="7" t="inlineStr">
        <is>
          <t>Ship gate — must be true before Day N+1</t>
        </is>
      </c>
      <c r="F4" s="7" t="inlineStr">
        <is>
          <t>Hrs</t>
        </is>
      </c>
    </row>
    <row r="5" ht="86" customHeight="1">
      <c r="A5" s="8" t="n">
        <v>1</v>
      </c>
      <c r="B5" s="9" t="inlineStr">
        <is>
          <t>Ground truth</t>
        </is>
      </c>
      <c r="C5" s="9" t="inlineStr">
        <is>
          <t>Repo skeleton, Python env, Synthea generation, profiling the raw output, Bronze load into DuckDB.</t>
        </is>
      </c>
      <c r="D5" s="9" t="inlineStr">
        <is>
          <t>Every downstream blank depends on what Synthea actually emits. You cannot define the cohort from a doc — only from the data.</t>
        </is>
      </c>
      <c r="E5" s="9" t="inlineStr">
        <is>
          <t>Bronze tables exist in DuckDB, row counts match the CSVs, and you have written down the real diabetes SNOMED codes and the A1c LOINC code.</t>
        </is>
      </c>
      <c r="F5" s="10" t="n">
        <v>3</v>
      </c>
    </row>
    <row r="6" ht="86" customHeight="1">
      <c r="A6" s="8" t="n">
        <v>2</v>
      </c>
      <c r="B6" s="9" t="inlineStr">
        <is>
          <t>Break it on purpose</t>
        </is>
      </c>
      <c r="C6" s="9" t="inlineStr">
        <is>
          <t>corrupt.py — inject the six defect classes into Bronze — and injected_defects.json recording every injected row.</t>
        </is>
      </c>
      <c r="D6" s="9" t="inlineStr">
        <is>
          <t>You inject before you check, so the checks have something to find. And you log the injection so catch rate is a measurement, not a claim.</t>
        </is>
      </c>
      <c r="E6" s="9" t="inlineStr">
        <is>
          <t>injected_defects.json exists, and its row count equals the number of rows you actually corrupted.</t>
        </is>
      </c>
      <c r="F6" s="10" t="n">
        <v>3</v>
      </c>
    </row>
    <row r="7" ht="86" customHeight="1">
      <c r="A7" s="8" t="n">
        <v>3</v>
      </c>
      <c r="B7" s="9" t="inlineStr">
        <is>
          <t>The validation layer</t>
        </is>
      </c>
      <c r="C7" s="9" t="inlineStr">
        <is>
          <t>DQ1-DQ6, the quarantine / identity_review / remediation_log tables, and Silver.</t>
        </is>
      </c>
      <c r="D7" s="9" t="inlineStr">
        <is>
          <t>This is the actual subject of the project. The care-gap query is easy; this is the part that makes it trustworthy.</t>
        </is>
      </c>
      <c r="E7" s="9" t="inlineStr">
        <is>
          <t>For every table: bronze rows = silver rows + quarantined rows. No silent drops (FR2). Catch rate computed.</t>
        </is>
      </c>
      <c r="F7" s="10" t="n">
        <v>3</v>
      </c>
    </row>
    <row r="8" ht="86" customHeight="1">
      <c r="A8" s="8" t="n">
        <v>4</v>
      </c>
      <c r="B8" s="9" t="inlineStr">
        <is>
          <t>The answer</t>
        </is>
      </c>
      <c r="C8" s="9" t="inlineStr">
        <is>
          <t>Lock both cohort definitions, build gold care_gap_a1c, wire the pipeline to one command.</t>
        </is>
      </c>
      <c r="D8" s="9" t="inlineStr">
        <is>
          <t>Gold is only meaningful once Silver is trustworthy. Definitions get locked here because now you know what the data supports.</t>
        </is>
      </c>
      <c r="E8" s="9" t="inlineStr">
        <is>
          <t>One command runs Synthea-to-Gold end to end (FR1), and you have hand-verified three patients against the raw CSVs.</t>
        </is>
      </c>
      <c r="F8" s="10" t="n">
        <v>3</v>
      </c>
    </row>
    <row r="9" ht="86" customHeight="1">
      <c r="A9" s="8" t="n">
        <v>5</v>
      </c>
      <c r="B9" s="9" t="inlineStr">
        <is>
          <t>Make it visible</t>
        </is>
      </c>
      <c r="C9" s="9" t="inlineStr">
        <is>
          <t>Next.js app, synthetic-data banner, P1 Overview, P2 Pipeline &amp; Data Quality. Deploy for the first time.</t>
        </is>
      </c>
      <c r="D9" s="9" t="inlineStr">
        <is>
          <t>P2 before P3 — the data quality work is the differentiator, so it gets built while you still have energy.</t>
        </is>
      </c>
      <c r="E9" s="9" t="inlineStr">
        <is>
          <t>A public URL exists and shows P1 and P2 with real numbers. Deploy on Day 5, not Day 7.</t>
        </is>
      </c>
      <c r="F9" s="10" t="n">
        <v>3</v>
      </c>
    </row>
    <row r="10" ht="86" customHeight="1">
      <c r="A10" s="8" t="n">
        <v>6</v>
      </c>
      <c r="B10" s="9" t="inlineStr">
        <is>
          <t>Access by role</t>
        </is>
      </c>
      <c r="C10" s="9" t="inlineStr">
        <is>
          <t>P3 Patient Care: the cohort list, gap-by-age chart, PCT / Nurse / Physician filtering — server-side.</t>
        </is>
      </c>
      <c r="D10" s="9" t="inlineStr">
        <is>
          <t>Needs Gold finished and the app shell working. The role matrix is where your PCT experience shows up.</t>
        </is>
      </c>
      <c r="E10" s="9" t="inlineStr">
        <is>
          <t>With PCT selected, dev tools shows no A1c values in the network payload. If they're there, the demo argues against itself.</t>
        </is>
      </c>
      <c r="F10" s="10" t="n">
        <v>3</v>
      </c>
    </row>
    <row r="11" ht="86" customHeight="1">
      <c r="A11" s="8" t="n">
        <v>7</v>
      </c>
      <c r="B11" s="9" t="inlineStr">
        <is>
          <t>Ask it anything, then ship</t>
        </is>
      </c>
      <c r="C11" s="9" t="inlineStr">
        <is>
          <t>P4 natural-language-to-SQL with SELECT-only enforcement, audit log, error sweep, README, deploy, Loom.</t>
        </is>
      </c>
      <c r="D11" s="9" t="inlineStr">
        <is>
          <t>Last because it's the most cuttable. If a day ran long, this is the page that shrinks.</t>
        </is>
      </c>
      <c r="E11" s="9" t="inlineStr">
        <is>
          <t>Five deliberately hostile questions return five clean sentences. No stack trace is reachable from any page.</t>
        </is>
      </c>
      <c r="F11" s="10" t="n">
        <v>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40" customWidth="1" min="3" max="3"/>
    <col width="44" customWidth="1" min="4" max="4"/>
    <col width="44" customWidth="1" min="5" max="5"/>
    <col width="34" customWidth="1" min="6" max="6"/>
    <col width="13" customWidth="1" min="7" max="7"/>
    <col width="30" customWidth="1" min="8" max="8"/>
    <col width="12" customWidth="1" min="10" max="10"/>
    <col width="10" customWidth="1" min="11" max="11"/>
  </cols>
  <sheetData>
    <row r="1" ht="22" customHeight="1">
      <c r="A1" s="1" t="inlineStr">
        <is>
          <t>Task Tracker</t>
        </is>
      </c>
    </row>
    <row r="2" ht="30" customHeight="1">
      <c r="A2" s="6" t="inlineStr">
        <is>
          <t>Amber columns are yours to fill. 'Done when' is the acceptance test — if you can't demonstrate it, it isn't done.</t>
        </is>
      </c>
    </row>
    <row r="4" ht="30" customHeight="1">
      <c r="A4" s="7" t="inlineStr">
        <is>
          <t>ID</t>
        </is>
      </c>
      <c r="B4" s="7" t="inlineStr">
        <is>
          <t>Day</t>
        </is>
      </c>
      <c r="C4" s="7" t="inlineStr">
        <is>
          <t>Task</t>
        </is>
      </c>
      <c r="D4" s="7" t="inlineStr">
        <is>
          <t>Why it matters</t>
        </is>
      </c>
      <c r="E4" s="7" t="inlineStr">
        <is>
          <t>Done when</t>
        </is>
      </c>
      <c r="F4" s="7" t="inlineStr">
        <is>
          <t>Go find out (search these)</t>
        </is>
      </c>
      <c r="G4" s="7" t="inlineStr">
        <is>
          <t>Status</t>
        </is>
      </c>
      <c r="H4" s="7" t="inlineStr">
        <is>
          <t>Your notes / blockers</t>
        </is>
      </c>
      <c r="J4" s="3" t="inlineStr">
        <is>
          <t>Progress</t>
        </is>
      </c>
    </row>
    <row r="5" ht="62" customHeight="1">
      <c r="A5" s="8" t="inlineStr">
        <is>
          <t>1.1</t>
        </is>
      </c>
      <c r="B5" s="10" t="n">
        <v>1</v>
      </c>
      <c r="C5" s="9" t="inlineStr">
        <is>
          <t>Run git init here and make a first commit containing only docs/.</t>
        </is>
      </c>
      <c r="D5" s="9" t="inlineStr">
        <is>
          <t>This folder is not a git repo yet. Commit history is part of the portfolio — a reviewer reads it.</t>
        </is>
      </c>
      <c r="E5" s="9" t="inlineStr">
        <is>
          <t>git log shows one commit and git status is clean.</t>
        </is>
      </c>
      <c r="F5" s="11" t="inlineStr">
        <is>
          <t>git init, writing a good commit message</t>
        </is>
      </c>
      <c r="G5" s="12" t="inlineStr">
        <is>
          <t>Done</t>
        </is>
      </c>
      <c r="H5" s="13" t="inlineStr"/>
      <c r="J5" s="14" t="inlineStr">
        <is>
          <t>Done</t>
        </is>
      </c>
      <c r="K5" s="15">
        <f>COUNTIF(G5:G74,"Done")</f>
        <v/>
      </c>
    </row>
    <row r="6" ht="62" customHeight="1">
      <c r="A6" s="8" t="inlineStr">
        <is>
          <t>1.2</t>
        </is>
      </c>
      <c r="B6" s="10" t="n">
        <v>1</v>
      </c>
      <c r="C6" s="9" t="inlineStr">
        <is>
          <t>Write .gitignore BEFORE generating any data. Exclude Synthea output, the DuckDB file, venv, node_modules.</t>
        </is>
      </c>
      <c r="D6" s="9" t="inlineStr">
        <is>
          <t>Synthea emits hundreds of MB. Committing it once means it lives in your history forever, and the repo becomes unclonable.</t>
        </is>
      </c>
      <c r="E6" s="9" t="inlineStr">
        <is>
          <t>After Day 1's data generation, git status still shows nothing to commit under data/.</t>
        </is>
      </c>
      <c r="F6" s="11" t="inlineStr">
        <is>
          <t>gitignore templates Python + Node, git check-ignore -v</t>
        </is>
      </c>
      <c r="G6" s="12" t="inlineStr">
        <is>
          <t>Done</t>
        </is>
      </c>
      <c r="H6" s="13" t="inlineStr"/>
      <c r="J6" s="14" t="inlineStr">
        <is>
          <t>Total</t>
        </is>
      </c>
      <c r="K6" s="15" t="n">
        <v>70</v>
      </c>
    </row>
    <row r="7" ht="62" customHeight="1">
      <c r="A7" s="8" t="inlineStr">
        <is>
          <t>1.3</t>
        </is>
      </c>
      <c r="B7" s="10" t="n">
        <v>1</v>
      </c>
      <c r="C7" s="9" t="inlineStr">
        <is>
          <t>Create the folder skeleton: pipeline/, data/raw/, data/warehouse/, web/.</t>
        </is>
      </c>
      <c r="D7" s="9" t="inlineStr">
        <is>
          <t>A flat repo of loose scripts reads as a homework assignment. Structure signals intent.</t>
        </is>
      </c>
      <c r="E7" s="9" t="inlineStr">
        <is>
          <t>Folders exist and .gitkeep (or similar) keeps the empty ones tracked.</t>
        </is>
      </c>
      <c r="F7" s="11" t="inlineStr">
        <is>
          <t>why empty dirs aren't tracked in git</t>
        </is>
      </c>
      <c r="G7" s="12" t="inlineStr">
        <is>
          <t>Done</t>
        </is>
      </c>
      <c r="H7" s="13" t="inlineStr"/>
      <c r="J7" s="14" t="inlineStr">
        <is>
          <t>Complete</t>
        </is>
      </c>
      <c r="K7" s="16">
        <f>IF(K6=0,0,K5/K6)</f>
        <v/>
      </c>
    </row>
    <row r="8" ht="62" customHeight="1">
      <c r="A8" s="8" t="inlineStr">
        <is>
          <t>1.4</t>
        </is>
      </c>
      <c r="B8" s="10" t="n">
        <v>1</v>
      </c>
      <c r="C8" s="9" t="inlineStr">
        <is>
          <t>Create a Python virtual environment and install duckdb and pandas into it. Freeze to requirements.txt.</t>
        </is>
      </c>
      <c r="D8" s="9" t="inlineStr">
        <is>
          <t>The README promises a run command. It has to work on a machine that isn't yours.</t>
        </is>
      </c>
      <c r="E8" s="9" t="inlineStr">
        <is>
          <t>A fresh shell can activate the venv, import duckdb, and requirements.txt is committed.</t>
        </is>
      </c>
      <c r="F8" s="11" t="inlineStr">
        <is>
          <t>python -m venv, pip freeze, why not global pip install</t>
        </is>
      </c>
      <c r="G8" s="12" t="inlineStr">
        <is>
          <t>Done</t>
        </is>
      </c>
      <c r="H8" s="13" t="inlineStr"/>
      <c r="J8" s="14" t="inlineStr">
        <is>
          <t>Blocked</t>
        </is>
      </c>
      <c r="K8" s="15">
        <f>COUNTIF(G5:G74,"Blocked")</f>
        <v/>
      </c>
    </row>
    <row r="9" ht="62" customHeight="1">
      <c r="A9" s="8" t="inlineStr">
        <is>
          <t>1.5</t>
        </is>
      </c>
      <c r="B9" s="10" t="n">
        <v>1</v>
      </c>
      <c r="C9" s="9" t="inlineStr">
        <is>
          <t>Get Synthea running. Confirm it executes before you try to generate anything real.</t>
        </is>
      </c>
      <c r="D9" s="9" t="inlineStr">
        <is>
          <t>Getting the tool working and generating the right data are two separate problems. Don't debug them at the same time.</t>
        </is>
      </c>
      <c r="E9" s="9" t="inlineStr">
        <is>
          <t>You can run Synthea and it prints usage/help without error.</t>
        </is>
      </c>
      <c r="F9" s="11" t="inlineStr">
        <is>
          <t>Synthea GitHub releases, synthea-with-dependencies.jar, java -jar</t>
        </is>
      </c>
      <c r="G9" s="12" t="inlineStr">
        <is>
          <t>Done</t>
        </is>
      </c>
      <c r="H9" s="13" t="inlineStr"/>
    </row>
    <row r="10" ht="62" customHeight="1">
      <c r="A10" s="8" t="inlineStr">
        <is>
          <t>1.6</t>
        </is>
      </c>
      <c r="B10" s="10" t="n">
        <v>1</v>
      </c>
      <c r="C10" s="9" t="inlineStr">
        <is>
          <t>Decide population size, state, and a fixed random seed. Record all three in the Decisions sheet.</t>
        </is>
      </c>
      <c r="D10" s="9" t="inlineStr">
        <is>
          <t>A fixed seed means a reviewer re-running your pipeline gets the numbers in your README. Without it, your README is unverifiable.</t>
        </is>
      </c>
      <c r="E10" s="9" t="inlineStr">
        <is>
          <t>The three values are written down, and re-running with the same seed produces identical row counts.</t>
        </is>
      </c>
      <c r="F10" s="11" t="inlineStr">
        <is>
          <t>Synthea -p and -s flags, reproducibility in data pipelines</t>
        </is>
      </c>
      <c r="G10" s="12" t="inlineStr">
        <is>
          <t>Done</t>
        </is>
      </c>
      <c r="H10" s="13" t="inlineStr">
        <is>
          <t>V1.3 failed with -s alone (data grew 4-6% four weeks later). Fixed with -cs -r -e; regenerated 2026-09-20. Full command in DAY_1_DECISIONS.md D2.</t>
        </is>
      </c>
    </row>
    <row r="11" ht="62" customHeight="1">
      <c r="A11" s="8" t="inlineStr">
        <is>
          <t>1.7</t>
        </is>
      </c>
      <c r="B11" s="10" t="n">
        <v>1</v>
      </c>
      <c r="C11" s="9" t="inlineStr">
        <is>
          <t>Generate the population with CSV export turned on.</t>
        </is>
      </c>
      <c r="D11" s="9" t="inlineStr">
        <is>
          <t>Synthea defaults to FHIR JSON. You want flat CSVs — FHIR conformance is an explicit non-goal.</t>
        </is>
      </c>
      <c r="E11" s="9" t="inlineStr">
        <is>
          <t>data/raw/ contains patients, encounters, conditions, observations and medications CSVs.</t>
        </is>
      </c>
      <c r="F11" s="11" t="inlineStr">
        <is>
          <t>exporter.csv.export property, synthea.properties file, --exporter flags</t>
        </is>
      </c>
      <c r="G11" s="12" t="inlineStr">
        <is>
          <t>Done</t>
        </is>
      </c>
      <c r="H11" s="13" t="inlineStr"/>
    </row>
    <row r="12" ht="62" customHeight="1">
      <c r="A12" s="8" t="inlineStr">
        <is>
          <t>1.8</t>
        </is>
      </c>
      <c r="B12" s="10" t="n">
        <v>1</v>
      </c>
      <c r="C12" s="9" t="inlineStr">
        <is>
          <t>PROFILE: count rows in each CSV. Record them in the Metrics sheet as your Bronze baseline.</t>
        </is>
      </c>
      <c r="D12" s="9" t="inlineStr">
        <is>
          <t>Every later assertion (bronze = silver + quarantine) is measured against these numbers.</t>
        </is>
      </c>
      <c r="E12" s="9" t="inlineStr">
        <is>
          <t>Metrics sheet has a row count per source file.</t>
        </is>
      </c>
      <c r="F12" s="11" t="inlineStr">
        <is>
          <t>wc -l, DuckDB read_csv_auto, count(*)</t>
        </is>
      </c>
      <c r="G12" s="12" t="inlineStr">
        <is>
          <t>Done</t>
        </is>
      </c>
      <c r="H12" s="13" t="inlineStr">
        <is>
          <t>Row counts in Metrics 1-5. profile.py replaces the ad-hoc loop.</t>
        </is>
      </c>
    </row>
    <row r="13" ht="62" customHeight="1">
      <c r="A13" s="8" t="inlineStr">
        <is>
          <t>1.9</t>
        </is>
      </c>
      <c r="B13" s="10" t="n">
        <v>1</v>
      </c>
      <c r="C13" s="9" t="inlineStr">
        <is>
          <t>PROFILE: find every distinct diabetes-related SNOMED code in conditions, and how many distinct patients carry each.</t>
        </is>
      </c>
      <c r="D13" s="9" t="inlineStr">
        <is>
          <t>You cannot define 'diabetic patient' from a document. This query is what makes that definition defensible.</t>
        </is>
      </c>
      <c r="E13" s="9" t="inlineStr">
        <is>
          <t>The codes and their patient counts are written into docs/DATA_DICTIONARY.md, replacing the placeholder text.</t>
        </is>
      </c>
      <c r="F13" s="11" t="inlineStr">
        <is>
          <t>SNOMED CT browser, type 2 diabetes mellitus SNOMED code, GROUP BY</t>
        </is>
      </c>
      <c r="G13" s="12" t="inlineStr">
        <is>
          <t>Done</t>
        </is>
      </c>
      <c r="H13" s="13" t="inlineStr">
        <is>
          <t>8 cohort codes; 73 patients have a complication but no T2DM code. See cohort.py.</t>
        </is>
      </c>
    </row>
    <row r="14" ht="62" customHeight="1">
      <c r="A14" s="8" t="inlineStr">
        <is>
          <t>1.10</t>
        </is>
      </c>
      <c r="B14" s="10" t="n">
        <v>1</v>
      </c>
      <c r="C14" s="9" t="inlineStr">
        <is>
          <t>PROFILE: confirm the A1c LOINC code, its unit string, and the min / median / max of its values.</t>
        </is>
      </c>
      <c r="D14" s="9" t="inlineStr">
        <is>
          <t>DQ3's plausible range (3.0-20.0%) has to match reality before you inject a 250 into it. If Synthea emits mmol/mol, the whole check changes.</t>
        </is>
      </c>
      <c r="E14" s="9" t="inlineStr">
        <is>
          <t>You know the exact LOINC code you'll filter on and the real value distribution.</t>
        </is>
      </c>
      <c r="F14" s="11" t="inlineStr">
        <is>
          <t>LOINC 4548-4, hemoglobin A1c units % vs mmol/mol, percentile in SQL</t>
        </is>
      </c>
      <c r="G14" s="12" t="inlineStr">
        <is>
          <t>Done</t>
        </is>
      </c>
      <c r="H14" s="13" t="inlineStr">
        <is>
          <t>Units are %, so DQ3 order of magnitude OK — but floor 3.0 flags 951 clean values.</t>
        </is>
      </c>
    </row>
    <row r="15" ht="62" customHeight="1">
      <c r="A15" s="8" t="inlineStr">
        <is>
          <t>1.11</t>
        </is>
      </c>
      <c r="B15" s="10" t="n">
        <v>1</v>
      </c>
      <c r="C15" s="9" t="inlineStr">
        <is>
          <t>PROFILE: what fraction of diabetes condition rows have a resolved_date?</t>
        </is>
      </c>
      <c r="D15" s="9" t="inlineStr">
        <is>
          <t>This single number decides 'any diabetes code ever recorded' vs 'only unresolved'. It's Decision D5.</t>
        </is>
      </c>
      <c r="E15" s="9" t="inlineStr">
        <is>
          <t>You can state the fill rate as a percentage and say which cohort definition the data supports.</t>
        </is>
      </c>
      <c r="F15" s="11" t="inlineStr">
        <is>
          <t>COUNT vs COUNT(column) null behaviour in SQL</t>
        </is>
      </c>
      <c r="G15" s="12" t="inlineStr">
        <is>
          <t>Done</t>
        </is>
      </c>
      <c r="H15" s="13" t="inlineStr">
        <is>
          <t>0.0% resolved → D5 decided early, no active-as-of filter needed.</t>
        </is>
      </c>
    </row>
    <row r="16" ht="62" customHeight="1">
      <c r="A16" s="8" t="inlineStr">
        <is>
          <t>1.12</t>
        </is>
      </c>
      <c r="B16" s="10" t="n">
        <v>1</v>
      </c>
      <c r="C16" s="9" t="inlineStr">
        <is>
          <t>Load every raw CSV into DuckDB as bronze_* tables, adding _loaded_at and _source_file. No typing, no dedupe, no validation.</t>
        </is>
      </c>
      <c r="D16" s="9" t="inlineStr">
        <is>
          <t>Bronze is a faithful copy of what arrived. Cleaning here would destroy your ability to show what the raw data looked like.</t>
        </is>
      </c>
      <c r="E16" s="9" t="inlineStr">
        <is>
          <t>Each bronze table's row count equals its CSV line count minus the header.</t>
        </is>
      </c>
      <c r="F16" s="11" t="inlineStr">
        <is>
          <t>DuckDB read_csv_auto, CREATE TABLE AS SELECT, all_varchar, current_timestamp</t>
        </is>
      </c>
      <c r="G16" s="12" t="inlineStr">
        <is>
          <t>Done</t>
        </is>
      </c>
      <c r="H16" s="13" t="inlineStr">
        <is>
          <t>load_bronze.py, all_varchar=true, verified V1.5/V1.6/V1.7 on every run.</t>
        </is>
      </c>
    </row>
    <row r="17" ht="62" customHeight="1">
      <c r="A17" s="8" t="inlineStr">
        <is>
          <t>1.13</t>
        </is>
      </c>
      <c r="B17" s="10" t="n">
        <v>1</v>
      </c>
      <c r="C17" s="9" t="inlineStr">
        <is>
          <t>Commit Day 1.</t>
        </is>
      </c>
      <c r="D17" s="9" t="inlineStr">
        <is>
          <t>End every day with a commit.</t>
        </is>
      </c>
      <c r="E17" s="9" t="inlineStr">
        <is>
          <t>git log shows a Day 1 commit with a real message.</t>
        </is>
      </c>
      <c r="F17" s="11" t="inlineStr">
        <is>
          <t>—</t>
        </is>
      </c>
      <c r="G17" s="12" t="inlineStr">
        <is>
          <t>Done</t>
        </is>
      </c>
      <c r="H17" s="13" t="inlineStr"/>
    </row>
    <row r="18" ht="62" customHeight="1">
      <c r="A18" s="8" t="inlineStr">
        <is>
          <t>2.1</t>
        </is>
      </c>
      <c r="B18" s="10" t="n">
        <v>2</v>
      </c>
      <c r="C18" s="9" t="inlineStr">
        <is>
          <t>Re-read the Principles section of DATA_QUALITY_SPEC.md, then plan corrupt.py on paper: which table, which rows, how many.</t>
        </is>
      </c>
      <c r="D18" s="9" t="inlineStr">
        <is>
          <t>Injection is the one place you're deliberately writing bad data. Planning it stops you from corrupting rows you can't find again.</t>
        </is>
      </c>
      <c r="E18" s="9" t="inlineStr">
        <is>
          <t>You have a written plan naming table, defect, and row count for all six.</t>
        </is>
      </c>
      <c r="F18" s="11" t="inlineStr">
        <is>
          <t>—</t>
        </is>
      </c>
      <c r="G18" s="12" t="inlineStr">
        <is>
          <t>Done</t>
        </is>
      </c>
      <c r="H18" s="13" t="inlineStr"/>
    </row>
    <row r="19" ht="62" customHeight="1">
      <c r="A19" s="8" t="inlineStr">
        <is>
          <t>2.2</t>
        </is>
      </c>
      <c r="B19" s="10" t="n">
        <v>2</v>
      </c>
      <c r="C19" s="9" t="inlineStr">
        <is>
          <t>Decide how many rows to corrupt per defect type. Record in Decisions.</t>
        </is>
      </c>
      <c r="D19" s="9" t="inlineStr">
        <is>
          <t>Too few and the Pipeline page looks empty. Too many and Gold has no patients left to report on.</t>
        </is>
      </c>
      <c r="E19" s="9" t="inlineStr">
        <is>
          <t>A number per defect, and a sanity check that Gold will still have a usable cohort afterwards.</t>
        </is>
      </c>
      <c r="F19" s="11" t="inlineStr">
        <is>
          <t>—</t>
        </is>
      </c>
      <c r="G19" s="12" t="inlineStr">
        <is>
          <t>Done</t>
        </is>
      </c>
      <c r="H19" s="13" t="inlineStr">
        <is>
          <t>D3 recorded: 40/150/20/8/25/6 = 249 rows, all under 1% of table.</t>
        </is>
      </c>
    </row>
    <row r="20" ht="62" customHeight="1">
      <c r="A20" s="8" t="inlineStr">
        <is>
          <t>2.3</t>
        </is>
      </c>
      <c r="B20" s="10" t="n">
        <v>2</v>
      </c>
      <c r="C20" s="9" t="inlineStr">
        <is>
          <t>Inject D1 — duplicate encounter rows (interface replay).</t>
        </is>
      </c>
      <c r="D20" s="9" t="inlineStr">
        <is>
          <t>The most common real-world defect of the six. An HL7 interface re-posts a message and you get the encounter twice.</t>
        </is>
      </c>
      <c r="E20" s="9" t="inlineStr">
        <is>
          <t>Known duplicate pairs exist in bronze_encounters and their ids are logged.</t>
        </is>
      </c>
      <c r="F20" s="11" t="inlineStr">
        <is>
          <t>HL7 interface replay, idempotency in message processing</t>
        </is>
      </c>
      <c r="G20" s="12" t="inlineStr">
        <is>
          <t>Done</t>
        </is>
      </c>
      <c r="H20" s="13" t="inlineStr"/>
    </row>
    <row r="21" ht="62" customHeight="1">
      <c r="A21" s="8" t="inlineStr">
        <is>
          <t>2.4</t>
        </is>
      </c>
      <c r="B21" s="10" t="n">
        <v>2</v>
      </c>
      <c r="C21" s="9" t="inlineStr">
        <is>
          <t>Inject D2 — null patient_id in observations.</t>
        </is>
      </c>
      <c r="D21" s="9" t="inlineStr">
        <is>
          <t>A lab result that arrives without a resolvable patient. In production it's a failed foreign key on ingest.</t>
        </is>
      </c>
      <c r="E21" s="9" t="inlineStr">
        <is>
          <t>Orphan observation rows exist and their source ids are logged.</t>
        </is>
      </c>
      <c r="F21" s="11" t="inlineStr">
        <is>
          <t>referential integrity, orphan records</t>
        </is>
      </c>
      <c r="G21" s="12" t="inlineStr">
        <is>
          <t>Done</t>
        </is>
      </c>
      <c r="H21" s="13" t="inlineStr"/>
    </row>
    <row r="22" ht="62" customHeight="1">
      <c r="A22" s="8" t="inlineStr">
        <is>
          <t>2.5</t>
        </is>
      </c>
      <c r="B22" s="10" t="n">
        <v>2</v>
      </c>
      <c r="C22" s="9" t="inlineStr">
        <is>
          <t>Inject D3 — an A1c value of 250 (mg/dL entered into a % field).</t>
        </is>
      </c>
      <c r="D22" s="9" t="inlineStr">
        <is>
          <t>The classic unit error. It's the defect where quarantining is the wrong answer — this one you remediate.</t>
        </is>
      </c>
      <c r="E22" s="9" t="inlineStr">
        <is>
          <t>Out-of-range A1c rows exist and are logged.</t>
        </is>
      </c>
      <c r="F22" s="11" t="inlineStr">
        <is>
          <t>unit conversion errors in clinical data, mg/dL vs percent A1c</t>
        </is>
      </c>
      <c r="G22" s="12" t="inlineStr">
        <is>
          <t>Done</t>
        </is>
      </c>
      <c r="H22" s="13" t="inlineStr"/>
    </row>
    <row r="23" ht="62" customHeight="1">
      <c r="A23" s="8" t="inlineStr">
        <is>
          <t>2.6</t>
        </is>
      </c>
      <c r="B23" s="10" t="n">
        <v>2</v>
      </c>
      <c r="C23" s="9" t="inlineStr">
        <is>
          <t>Inject D4 — a birth date in the future.</t>
        </is>
      </c>
      <c r="D23" s="9" t="inlineStr">
        <is>
          <t>Registration typo. Trivial to catch, which is exactly why it belongs — not every check has to be clever.</t>
        </is>
      </c>
      <c r="E23" s="9" t="inlineStr">
        <is>
          <t>Future-dated patient rows exist and are logged.</t>
        </is>
      </c>
      <c r="F23" s="11" t="inlineStr">
        <is>
          <t>date sanity checks</t>
        </is>
      </c>
      <c r="G23" s="12" t="inlineStr">
        <is>
          <t>Done</t>
        </is>
      </c>
      <c r="H23" s="13" t="inlineStr"/>
    </row>
    <row r="24" ht="62" customHeight="1">
      <c r="A24" s="8" t="inlineStr">
        <is>
          <t>2.7</t>
        </is>
      </c>
      <c r="B24" s="10" t="n">
        <v>2</v>
      </c>
      <c r="C24" s="9" t="inlineStr">
        <is>
          <t>Inject D5 — discharge timestamp before admission.</t>
        </is>
      </c>
      <c r="D24" s="9" t="inlineStr">
        <is>
          <t>Timezone or clock drift between systems. Common enough that real warehouses check for it.</t>
        </is>
      </c>
      <c r="E24" s="9" t="inlineStr">
        <is>
          <t>Chronologically impossible encounters exist and are logged.</t>
        </is>
      </c>
      <c r="F24" s="11" t="inlineStr">
        <is>
          <t>timezone handling in clinical timestamps</t>
        </is>
      </c>
      <c r="G24" s="12" t="inlineStr">
        <is>
          <t>Done</t>
        </is>
      </c>
      <c r="H24" s="13" t="inlineStr"/>
    </row>
    <row r="25" ht="62" customHeight="1">
      <c r="A25" s="8" t="inlineStr">
        <is>
          <t>2.8</t>
        </is>
      </c>
      <c r="B25" s="10" t="n">
        <v>2</v>
      </c>
      <c r="C25" s="9" t="inlineStr">
        <is>
          <t>Inject D6 — the same person registered under two different MRNs.</t>
        </is>
      </c>
      <c r="D25" s="9" t="inlineStr">
        <is>
          <t>The most dangerous defect of the six, and the reason DQ6 routes to a human instead of merging.</t>
        </is>
      </c>
      <c r="E25" s="9" t="inlineStr">
        <is>
          <t>At least one true duplicate-identity pair exists, sharing name and birth date, with different MRNs.</t>
        </is>
      </c>
      <c r="F25" s="11" t="inlineStr">
        <is>
          <t>patient identity matching, master patient index, deterministic vs probabilistic matching</t>
        </is>
      </c>
      <c r="G25" s="12" t="inlineStr">
        <is>
          <t>Done</t>
        </is>
      </c>
      <c r="H25" s="13" t="inlineStr"/>
    </row>
    <row r="26" ht="62" customHeight="1">
      <c r="A26" s="8" t="inlineStr">
        <is>
          <t>2.9</t>
        </is>
      </c>
      <c r="B26" s="10" t="n">
        <v>2</v>
      </c>
      <c r="C26" s="9" t="inlineStr">
        <is>
          <t>Write injected_defects.json — one entry per corrupted row: defect id, table, source row id, what you changed.</t>
        </is>
      </c>
      <c r="D26" s="9" t="inlineStr">
        <is>
          <t>Without this file, catch rate is a claim. With it, it's a measurement. This file is the difference.</t>
        </is>
      </c>
      <c r="E26" s="9" t="inlineStr">
        <is>
          <t>Entry count equals the number of rows you actually corrupted, and every entry has a resolvable row id.</t>
        </is>
      </c>
      <c r="F26" s="11" t="inlineStr">
        <is>
          <t>JSON schema design, why ground truth matters in evaluation</t>
        </is>
      </c>
      <c r="G26" s="12" t="inlineStr">
        <is>
          <t>Done</t>
        </is>
      </c>
      <c r="H26" s="13" t="inlineStr">
        <is>
          <t>data/injected_defects.json - 249 entries, no timestamps so V2.3 can diff it. Committed.</t>
        </is>
      </c>
    </row>
    <row r="27" ht="62" customHeight="1">
      <c r="A27" s="8" t="inlineStr">
        <is>
          <t>2.10</t>
        </is>
      </c>
      <c r="B27" s="10" t="n">
        <v>2</v>
      </c>
      <c r="C27" s="9" t="inlineStr">
        <is>
          <t>Make corrupt.py re-runnable from a clean Bronze without stacking corruption.</t>
        </is>
      </c>
      <c r="D27" s="9" t="inlineStr">
        <is>
          <t>You will run this many times over the next five days. If it isn't idempotent you'll poison your own data and lose an hour.</t>
        </is>
      </c>
      <c r="E27" s="9" t="inlineStr">
        <is>
          <t>Running it twice from clean Bronze produces the same injected_defects.json.</t>
        </is>
      </c>
      <c r="F27" s="11" t="inlineStr">
        <is>
          <t>idempotency, deterministic seeding with random.seed</t>
        </is>
      </c>
      <c r="G27" s="12" t="inlineStr">
        <is>
          <t>Done</t>
        </is>
      </c>
      <c r="H27" s="13" t="inlineStr">
        <is>
          <t>Reload-first: corrupt.py calls load_bronze before injecting. V2.3 + V2.4 pass; JSON byte-identical across runs.</t>
        </is>
      </c>
    </row>
    <row r="28" ht="62" customHeight="1">
      <c r="A28" s="8" t="inlineStr">
        <is>
          <t>2.11</t>
        </is>
      </c>
      <c r="B28" s="10" t="n">
        <v>2</v>
      </c>
      <c r="C28" s="9" t="inlineStr">
        <is>
          <t>Commit Day 2.</t>
        </is>
      </c>
      <c r="D28" s="9" t="inlineStr">
        <is>
          <t>End every day with a commit.</t>
        </is>
      </c>
      <c r="E28" s="9" t="inlineStr">
        <is>
          <t>Day 2 commit exists.</t>
        </is>
      </c>
      <c r="F28" s="11" t="inlineStr">
        <is>
          <t>—</t>
        </is>
      </c>
      <c r="G28" s="12" t="inlineStr">
        <is>
          <t>Done</t>
        </is>
      </c>
      <c r="H28" s="13" t="inlineStr"/>
    </row>
    <row r="29" ht="62" customHeight="1">
      <c r="A29" s="8" t="inlineStr">
        <is>
          <t>3.1</t>
        </is>
      </c>
      <c r="B29" s="10" t="n">
        <v>3</v>
      </c>
      <c r="C29" s="9" t="inlineStr">
        <is>
          <t>Create the three output tables with the exact schemas in DATA_QUALITY_SPEC.md: quarantine, identity_review, remediation_log.</t>
        </is>
      </c>
      <c r="D29" s="9" t="inlineStr">
        <is>
          <t>Build the destinations before the checks, so no check has an excuse to drop a row silently.</t>
        </is>
      </c>
      <c r="E29" s="9" t="inlineStr">
        <is>
          <t>All three tables exist with every column the spec names.</t>
        </is>
      </c>
      <c r="F29" s="11" t="inlineStr">
        <is>
          <t>DDL, choosing column types</t>
        </is>
      </c>
      <c r="G29" s="12" t="inlineStr">
        <is>
          <t>Done</t>
        </is>
      </c>
      <c r="H29" s="13" t="inlineStr"/>
    </row>
    <row r="30" ht="62" customHeight="1">
      <c r="A30" s="8" t="inlineStr">
        <is>
          <t>3.2</t>
        </is>
      </c>
      <c r="B30" s="10" t="n">
        <v>3</v>
      </c>
      <c r="C30" s="9" t="inlineStr">
        <is>
          <t>DQ1 — encounter uniqueness. Quarantine duplicates, keep the earliest.</t>
        </is>
      </c>
      <c r="D30" s="9" t="inlineStr">
        <is>
          <t>'Keep earliest' is a rule you chose. Be ready to say why earliest and not latest.</t>
        </is>
      </c>
      <c r="E30" s="9" t="inlineStr">
        <is>
          <t>Duplicates from D1 are in quarantine with check_id DQ1, and one row per encounter survives.</t>
        </is>
      </c>
      <c r="F30" s="11" t="inlineStr">
        <is>
          <t>window functions, ROW_NUMBER() OVER PARTITION BY, QUALIFY in DuckDB</t>
        </is>
      </c>
      <c r="G30" s="12" t="inlineStr">
        <is>
          <t>Done</t>
        </is>
      </c>
      <c r="H30" s="13" t="inlineStr"/>
    </row>
    <row r="31" ht="62" customHeight="1">
      <c r="A31" s="8" t="inlineStr">
        <is>
          <t>3.3</t>
        </is>
      </c>
      <c r="B31" s="10" t="n">
        <v>3</v>
      </c>
      <c r="C31" s="9" t="inlineStr">
        <is>
          <t>DQ2 — referential integrity: every observation's patient_id exists in patients.</t>
        </is>
      </c>
      <c r="D31" s="9" t="inlineStr">
        <is>
          <t>An observation with no patient can never reach a care team. Silently dropping it means nobody ever learns it arrived.</t>
        </is>
      </c>
      <c r="E31" s="9" t="inlineStr">
        <is>
          <t>D2's orphans are in quarantine with check_id DQ2.</t>
        </is>
      </c>
      <c r="F31" s="11" t="inlineStr">
        <is>
          <t>anti-join, LEFT JOIN WHERE NULL, NOT EXISTS</t>
        </is>
      </c>
      <c r="G31" s="12" t="inlineStr">
        <is>
          <t>Done</t>
        </is>
      </c>
      <c r="H31" s="13" t="inlineStr"/>
    </row>
    <row r="32" ht="62" customHeight="1">
      <c r="A32" s="8" t="inlineStr">
        <is>
          <t>3.4</t>
        </is>
      </c>
      <c r="B32" s="10" t="n">
        <v>3</v>
      </c>
      <c r="C32" s="9" t="inlineStr">
        <is>
          <t>DQ3 — A1c plausibility (3.0-20.0). Remediate probable unit errors, quarantine the rest. Write the remediation rule down first.</t>
        </is>
      </c>
      <c r="D32" s="9" t="inlineStr">
        <is>
          <t>This is the only check with two possible outcomes. The rule you write is the interesting part — 'divisible pattern suggests unit error' is a hint, not a rule.</t>
        </is>
      </c>
      <c r="E32" s="9" t="inlineStr">
        <is>
          <t>The 250 is either corrected with an entry in remediation_log (original value preserved) or quarantined, and you can explain which and why.</t>
        </is>
      </c>
      <c r="F32" s="11" t="inlineStr">
        <is>
          <t>unit conversion A1c, eAG vs A1c, defensive data correction</t>
        </is>
      </c>
      <c r="G32" s="12" t="inlineStr">
        <is>
          <t>Done</t>
        </is>
      </c>
      <c r="H32" s="13" t="inlineStr">
        <is>
          <t>D4: remediate via eAG. Range floor revised to 2.0. See validate.py dq3.</t>
        </is>
      </c>
    </row>
    <row r="33" ht="62" customHeight="1">
      <c r="A33" s="8" t="inlineStr">
        <is>
          <t>3.5</t>
        </is>
      </c>
      <c r="B33" s="10" t="n">
        <v>3</v>
      </c>
      <c r="C33" s="9" t="inlineStr">
        <is>
          <t>DQ4 — birth date sanity: in the past, and implied age &lt;= 120.</t>
        </is>
      </c>
      <c r="D33" s="9" t="inlineStr">
        <is>
          <t>Simple, but state your 'today'. A hardcoded date rots; a run-time date makes results non-reproducible. Pick one and know why.</t>
        </is>
      </c>
      <c r="E33" s="9" t="inlineStr">
        <is>
          <t>D4's rows are in quarantine with check_id DQ4.</t>
        </is>
      </c>
      <c r="F33" s="11" t="inlineStr">
        <is>
          <t>date arithmetic in DuckDB, age calculation</t>
        </is>
      </c>
      <c r="G33" s="12" t="inlineStr">
        <is>
          <t>Done</t>
        </is>
      </c>
      <c r="H33" s="13" t="inlineStr">
        <is>
          <t>D7: ASOF = 2026-08-23, constant in validate.py.</t>
        </is>
      </c>
    </row>
    <row r="34" ht="62" customHeight="1">
      <c r="A34" s="8" t="inlineStr">
        <is>
          <t>3.6</t>
        </is>
      </c>
      <c r="B34" s="10" t="n">
        <v>3</v>
      </c>
      <c r="C34" s="9" t="inlineStr">
        <is>
          <t>DQ5 — encounter chronology: discharge &gt;= admission.</t>
        </is>
      </c>
      <c r="D34" s="9" t="inlineStr">
        <is>
          <t>Watch the nulls. An open encounter with no discharge is valid, not a failure.</t>
        </is>
      </c>
      <c r="E34" s="9" t="inlineStr">
        <is>
          <t>D5's rows are quarantined and open encounters are NOT.</t>
        </is>
      </c>
      <c r="F34" s="11" t="inlineStr">
        <is>
          <t>three-valued logic in SQL, NULL comparison behaviour</t>
        </is>
      </c>
      <c r="G34" s="12" t="inlineStr">
        <is>
          <t>Done</t>
        </is>
      </c>
      <c r="H34" s="13" t="inlineStr"/>
    </row>
    <row r="35" ht="62" customHeight="1">
      <c r="A35" s="8" t="inlineStr">
        <is>
          <t>3.7</t>
        </is>
      </c>
      <c r="B35" s="10" t="n">
        <v>3</v>
      </c>
      <c r="C35" s="9" t="inlineStr">
        <is>
          <t>DQ6 — identity: no two patients share name + birth date. Route matches to identity_review with status 'pending'.</t>
        </is>
      </c>
      <c r="D35" s="9" t="inlineStr">
        <is>
          <t>Nothing downstream may merge these. A wrong merge combines two people's medication lists — that's a patient safety event, not a data bug.</t>
        </is>
      </c>
      <c r="E35" s="9" t="inlineStr">
        <is>
          <t>D6's pair is in identity_review as pending, and both patient records still exist independently in Silver.</t>
        </is>
      </c>
      <c r="F35" s="11" t="inlineStr">
        <is>
          <t>master patient index, match confidence scoring, human-in-the-loop review</t>
        </is>
      </c>
      <c r="G35" s="12" t="inlineStr">
        <is>
          <t>Done</t>
        </is>
      </c>
      <c r="H35" s="13" t="inlineStr"/>
    </row>
    <row r="36" ht="62" customHeight="1">
      <c r="A36" s="8" t="inlineStr">
        <is>
          <t>3.8</t>
        </is>
      </c>
      <c r="B36" s="10" t="n">
        <v>3</v>
      </c>
      <c r="C36" s="9" t="inlineStr">
        <is>
          <t>Build the silver_* tables: surviving rows only, with real types cast (dates as dates, values as doubles).</t>
        </is>
      </c>
      <c r="D36" s="9" t="inlineStr">
        <is>
          <t>Silver is where the data becomes trustworthy AND typed. Bronze was all strings on purpose.</t>
        </is>
      </c>
      <c r="E36" s="9" t="inlineStr">
        <is>
          <t>Silver tables exist with correct types and a _dq_status column.</t>
        </is>
      </c>
      <c r="F36" s="11" t="inlineStr">
        <is>
          <t>CAST vs TRY_CAST, why TRY_CAST matters on dirty data</t>
        </is>
      </c>
      <c r="G36" s="12" t="inlineStr">
        <is>
          <t>Done</t>
        </is>
      </c>
      <c r="H36" s="13" t="inlineStr">
        <is>
          <t>Added value_text to silver_observations: 315,450 text results would otherwise be nulled by TRY_CAST.</t>
        </is>
      </c>
    </row>
    <row r="37" ht="62" customHeight="1">
      <c r="A37" s="8" t="inlineStr">
        <is>
          <t>3.9</t>
        </is>
      </c>
      <c r="B37" s="10" t="n">
        <v>3</v>
      </c>
      <c r="C37" s="9" t="inlineStr">
        <is>
          <t>Compute catch rate: read injected_defects.json, compare to quarantine + identity_review + remediation_log. Fill the DQ Matrix sheet.</t>
        </is>
      </c>
      <c r="D37" s="9" t="inlineStr">
        <is>
          <t>The headline metric of the whole project. Report it honestly — a known, explained gap reads better than a claimed perfect score.</t>
        </is>
      </c>
      <c r="E37" s="9" t="inlineStr">
        <is>
          <t>DQ Matrix shows detected counts per defect and the catch rate calculates.</t>
        </is>
      </c>
      <c r="F37" s="11" t="inlineStr">
        <is>
          <t>precision and recall, evaluating against ground truth</t>
        </is>
      </c>
      <c r="G37" s="12" t="inlineStr">
        <is>
          <t>Done</t>
        </is>
      </c>
      <c r="H37" s="13" t="inlineStr">
        <is>
          <t>6 of 6 types, 249 of 249 rows. Written to data/dq_report.json.</t>
        </is>
      </c>
    </row>
    <row r="38" ht="62" customHeight="1">
      <c r="A38" s="8" t="inlineStr">
        <is>
          <t>3.10</t>
        </is>
      </c>
      <c r="B38" s="10" t="n">
        <v>3</v>
      </c>
      <c r="C38" s="9" t="inlineStr">
        <is>
          <t>ASSERT no silent drops: for every table, bronze rows = silver rows + quarantined rows. Make it fail loudly if not.</t>
        </is>
      </c>
      <c r="D38" s="9" t="inlineStr">
        <is>
          <t>This is FR2 turned into a test. It's the assertion that proves your first principle rather than asserting it.</t>
        </is>
      </c>
      <c r="E38" s="9" t="inlineStr">
        <is>
          <t>The check runs as part of the pipeline and raises if the arithmetic doesn't balance.</t>
        </is>
      </c>
      <c r="F38" s="11" t="inlineStr">
        <is>
          <t>assertions in data pipelines, reconciliation counts</t>
        </is>
      </c>
      <c r="G38" s="12" t="inlineStr">
        <is>
          <t>Done</t>
        </is>
      </c>
      <c r="H38" s="13" t="inlineStr">
        <is>
          <t>reconcile() in validate.py raises SystemExit if any table fails to balance.</t>
        </is>
      </c>
    </row>
    <row r="39" ht="62" customHeight="1">
      <c r="A39" s="8" t="inlineStr">
        <is>
          <t>3.11</t>
        </is>
      </c>
      <c r="B39" s="10" t="n">
        <v>3</v>
      </c>
      <c r="C39" s="9" t="inlineStr">
        <is>
          <t>Commit Day 3.</t>
        </is>
      </c>
      <c r="D39" s="9" t="inlineStr">
        <is>
          <t>End every day with a commit.</t>
        </is>
      </c>
      <c r="E39" s="9" t="inlineStr">
        <is>
          <t>Day 3 commit exists.</t>
        </is>
      </c>
      <c r="F39" s="11" t="inlineStr">
        <is>
          <t>—</t>
        </is>
      </c>
      <c r="G39" s="12" t="inlineStr">
        <is>
          <t>Done</t>
        </is>
      </c>
      <c r="H39" s="13" t="inlineStr"/>
    </row>
    <row r="40" ht="62" customHeight="1">
      <c r="A40" s="8" t="inlineStr">
        <is>
          <t>4.1</t>
        </is>
      </c>
      <c r="B40" s="10" t="n">
        <v>4</v>
      </c>
      <c r="C40" s="9" t="inlineStr">
        <is>
          <t>LOCK both cohort definitions in writing: 'diabetic patient' and 'open A1c gap'. Fill the blanks in DATA_DICTIONARY.md.</t>
        </is>
      </c>
      <c r="D40" s="9" t="inlineStr">
        <is>
          <t>The docs call these the most interview-relevant lines in the repo. You now have the profiling data to answer them properly. Blocking — nothing else on Day 4 starts first.</t>
        </is>
      </c>
      <c r="E40" s="9" t="inlineStr">
        <is>
          <t>Both blanks are filled with a definition AND a one-line justification referencing what you found on Day 1.</t>
        </is>
      </c>
      <c r="F40" s="11" t="inlineStr">
        <is>
          <t>HEDIS comprehensive diabetes care specification, denominator vs numerator in quality measures</t>
        </is>
      </c>
      <c r="G40" s="12" t="inlineStr">
        <is>
          <t>Done</t>
        </is>
      </c>
      <c r="H40" s="13" t="inlineStr">
        <is>
          <t>D5 gained 'alive on as-of': 45 of 161 are deceased. Denominator 116. D6 as written.</t>
        </is>
      </c>
    </row>
    <row r="41" ht="62" customHeight="1">
      <c r="A41" s="8" t="inlineStr">
        <is>
          <t>4.2</t>
        </is>
      </c>
      <c r="B41" s="10" t="n">
        <v>4</v>
      </c>
      <c r="C41" s="9" t="inlineStr">
        <is>
          <t>Build gold care_gap_a1c with every column the data dictionary lists.</t>
        </is>
      </c>
      <c r="D41" s="9" t="inlineStr">
        <is>
          <t>One row per diabetic patient. This table is the product of the entire pipeline.</t>
        </is>
      </c>
      <c r="E41" s="9" t="inlineStr">
        <is>
          <t>Table exists, one row per patient in the cohort, no duplicates.</t>
        </is>
      </c>
      <c r="F41" s="11" t="inlineStr">
        <is>
          <t>CTEs, LEFT JOIN to preserve the never-tested</t>
        </is>
      </c>
      <c r="G41" s="12" t="inlineStr">
        <is>
          <t>Done</t>
        </is>
      </c>
      <c r="H41" s="13" t="inlineStr"/>
    </row>
    <row r="42" ht="62" customHeight="1">
      <c r="A42" s="8" t="inlineStr">
        <is>
          <t>4.3</t>
        </is>
      </c>
      <c r="B42" s="10" t="n">
        <v>4</v>
      </c>
      <c r="C42" s="9" t="inlineStr">
        <is>
          <t>Handle the never-tested patient. days_since_a1c must be null-safe and gap_flag must be TRUE for them.</t>
        </is>
      </c>
      <c r="D42" s="9" t="inlineStr">
        <is>
          <t>A patient who has never had an A1c is the highest-risk person on the list. A naive inner join silently deletes exactly the people you most need to find.</t>
        </is>
      </c>
      <c r="E42" s="9" t="inlineStr">
        <is>
          <t>Patients with zero A1c results appear in Gold with a null last_a1c_date and gap_flag = true.</t>
        </is>
      </c>
      <c r="F42" s="11" t="inlineStr">
        <is>
          <t>LEFT JOIN vs INNER JOIN, COALESCE, null propagation in arithmetic</t>
        </is>
      </c>
      <c r="G42" s="12" t="inlineStr">
        <is>
          <t>Done</t>
        </is>
      </c>
      <c r="H42" s="13" t="inlineStr">
        <is>
          <t>Inner-join demo in day4_gold.ipynb: 116 -&gt; 95 rows, all 21 never-tested vanish = 84% of the gaps.</t>
        </is>
      </c>
    </row>
    <row r="43" ht="62" customHeight="1">
      <c r="A43" s="8" t="inlineStr">
        <is>
          <t>4.4</t>
        </is>
      </c>
      <c r="B43" s="10" t="n">
        <v>4</v>
      </c>
      <c r="C43" s="9" t="inlineStr">
        <is>
          <t>Hand-verify three patients end to end against the raw CSVs: one with a recent A1c, one overdue, one never tested.</t>
        </is>
      </c>
      <c r="D43" s="9" t="inlineStr">
        <is>
          <t>There is no unit test that substitutes for this. It's also the story you tell when asked 'how did you know it was right?'</t>
        </is>
      </c>
      <c r="E43" s="9" t="inlineStr">
        <is>
          <t>Three patient ids traced from raw CSV to Gold row, and the numbers agree.</t>
        </is>
      </c>
      <c r="F43" s="11" t="inlineStr">
        <is>
          <t>manual reconciliation, spot-checking</t>
        </is>
      </c>
      <c r="G43" s="12" t="inlineStr">
        <is>
          <t>Done</t>
        </is>
      </c>
      <c r="H43" s="13" t="inlineStr">
        <is>
          <t>Three patients traced raw CSV -&gt; Gold in the notebook (recent / stale / never). All agree.</t>
        </is>
      </c>
    </row>
    <row r="44" ht="62" customHeight="1">
      <c r="A44" s="8" t="inlineStr">
        <is>
          <t>4.5</t>
        </is>
      </c>
      <c r="B44" s="10" t="n">
        <v>4</v>
      </c>
      <c r="C44" s="9" t="inlineStr">
        <is>
          <t>Wire the whole thing to a single command: generate, load, corrupt, check, build gold.</t>
        </is>
      </c>
      <c r="D44" s="9" t="inlineStr">
        <is>
          <t>FR1. Also the command that goes in the README's 'Run it' block.</t>
        </is>
      </c>
      <c r="E44" s="9" t="inlineStr">
        <is>
          <t>One command on a clean checkout produces a populated Gold table.</t>
        </is>
      </c>
      <c r="F44" s="11" t="inlineStr">
        <is>
          <t>Makefile, shell script orchestration, argparse</t>
        </is>
      </c>
      <c r="G44" s="12" t="inlineStr">
        <is>
          <t>Done</t>
        </is>
      </c>
      <c r="H44" s="13" t="inlineStr">
        <is>
          <t>pipeline/run_all.py [--generate] [--fresh]. V4.10: 12 s from nothing, same numbers.</t>
        </is>
      </c>
    </row>
    <row r="45" ht="62" customHeight="1">
      <c r="A45" s="8" t="inlineStr">
        <is>
          <t>4.6</t>
        </is>
      </c>
      <c r="B45" s="10" t="n">
        <v>4</v>
      </c>
      <c r="C45" s="9" t="inlineStr">
        <is>
          <t>Record the headline numbers in Metrics: bronze / silver / quarantined / gold counts, cohort size, gap count.</t>
        </is>
      </c>
      <c r="D45" s="9" t="inlineStr">
        <is>
          <t>These fill the README table and the P1 headline. Measure once, reuse everywhere.</t>
        </is>
      </c>
      <c r="E45" s="9" t="inlineStr">
        <is>
          <t>Metrics sheet is fully populated.</t>
        </is>
      </c>
      <c r="F45" s="11" t="inlineStr">
        <is>
          <t>—</t>
        </is>
      </c>
      <c r="G45" s="12" t="inlineStr">
        <is>
          <t>Done</t>
        </is>
      </c>
      <c r="H45" s="13" t="inlineStr"/>
    </row>
    <row r="46" ht="62" customHeight="1">
      <c r="A46" s="8" t="inlineStr">
        <is>
          <t>4.7</t>
        </is>
      </c>
      <c r="B46" s="10" t="n">
        <v>4</v>
      </c>
      <c r="C46" s="9" t="inlineStr">
        <is>
          <t>Commit Day 4.</t>
        </is>
      </c>
      <c r="D46" s="9" t="inlineStr">
        <is>
          <t>End every day with a commit.</t>
        </is>
      </c>
      <c r="E46" s="9" t="inlineStr">
        <is>
          <t>Day 4 commit exists.</t>
        </is>
      </c>
      <c r="F46" s="11" t="inlineStr">
        <is>
          <t>—</t>
        </is>
      </c>
      <c r="G46" s="12" t="inlineStr">
        <is>
          <t>Done</t>
        </is>
      </c>
      <c r="H46" s="13" t="inlineStr"/>
    </row>
    <row r="47" ht="62" customHeight="1">
      <c r="A47" s="8" t="inlineStr">
        <is>
          <t>5.1</t>
        </is>
      </c>
      <c r="B47" s="10" t="n">
        <v>5</v>
      </c>
      <c r="C47" s="9" t="inlineStr">
        <is>
          <t>Scaffold the Next.js app in web/.</t>
        </is>
      </c>
      <c r="D47" s="9" t="inlineStr">
        <is>
          <t>Four pages, no auth. Keep it plain — the content is the point, not the framework.</t>
        </is>
      </c>
      <c r="E47" s="9" t="inlineStr">
        <is>
          <t>Dev server runs and serves a default page.</t>
        </is>
      </c>
      <c r="F47" s="11" t="inlineStr">
        <is>
          <t>create-next-app, App Router vs Pages Router</t>
        </is>
      </c>
      <c r="G47" s="12" t="inlineStr">
        <is>
          <t>Done</t>
        </is>
      </c>
      <c r="H47" s="13" t="inlineStr"/>
    </row>
    <row r="48" ht="62" customHeight="1">
      <c r="A48" s="8" t="inlineStr">
        <is>
          <t>5.2</t>
        </is>
      </c>
      <c r="B48" s="10" t="n">
        <v>5</v>
      </c>
      <c r="C48" s="9" t="inlineStr">
        <is>
          <t>Decide how the web app gets data: query DuckDB at request time, or export Gold to JSON at build time. Record the trade-off in Decisions.</t>
        </is>
      </c>
      <c r="D48" s="9" t="inlineStr">
        <is>
          <t>This decision determines whether you can deploy to a static host. Deciding it now avoids rewriting on Day 7.</t>
        </is>
      </c>
      <c r="E48" s="9" t="inlineStr">
        <is>
          <t>Decision recorded with its reasoning, and a spike proving the chosen route works.</t>
        </is>
      </c>
      <c r="F48" s="11" t="inlineStr">
        <is>
          <t>serverless filesystem limits, static export, DuckDB in Node vs Python</t>
        </is>
      </c>
      <c r="G48" s="12" t="inlineStr">
        <is>
          <t>Done</t>
        </is>
      </c>
      <c r="H48" s="13" t="inlineStr">
        <is>
          <t>D9: static export. JSON for the pages, Parquet for DuckDB-WASM on P4.</t>
        </is>
      </c>
    </row>
    <row r="49" ht="62" customHeight="1">
      <c r="A49" s="8" t="inlineStr">
        <is>
          <t>5.3</t>
        </is>
      </c>
      <c r="B49" s="10" t="n">
        <v>5</v>
      </c>
      <c r="C49" s="9" t="inlineStr">
        <is>
          <t>Build the synthetic-data banner as one shared component and put it on every page.</t>
        </is>
      </c>
      <c r="D49" s="9" t="inlineStr">
        <is>
          <t>FR7. One component so it can't drift or get forgotten on a page.</t>
        </is>
      </c>
      <c r="E49" s="9" t="inlineStr">
        <is>
          <t>All four pages render it, including error states.</t>
        </is>
      </c>
      <c r="F49" s="11" t="inlineStr">
        <is>
          <t>shared layout components</t>
        </is>
      </c>
      <c r="G49" s="12" t="inlineStr">
        <is>
          <t>Done</t>
        </is>
      </c>
      <c r="H49" s="13" t="inlineStr"/>
    </row>
    <row r="50" ht="62" customHeight="1">
      <c r="A50" s="8" t="inlineStr">
        <is>
          <t>5.4</t>
        </is>
      </c>
      <c r="B50" s="10" t="n">
        <v>5</v>
      </c>
      <c r="C50" s="9" t="inlineStr">
        <is>
          <t>P1 Overview: headline gap number, one-sentence description, architecture diagram, links to the other three pages.</t>
        </is>
      </c>
      <c r="D50" s="9" t="inlineStr">
        <is>
          <t>A viewer with no context must understand the pipeline in under 3 minutes (G1). This page carries most of that.</t>
        </is>
      </c>
      <c r="E50" s="9" t="inlineStr">
        <is>
          <t>The headline number is read from Gold, not typed in by hand.</t>
        </is>
      </c>
      <c r="F50" s="11" t="inlineStr">
        <is>
          <t>—</t>
        </is>
      </c>
      <c r="G50" s="12" t="inlineStr">
        <is>
          <t>Done</t>
        </is>
      </c>
      <c r="H50" s="13" t="inlineStr"/>
    </row>
    <row r="51" ht="62" customHeight="1">
      <c r="A51" s="8" t="inlineStr">
        <is>
          <t>5.5</t>
        </is>
      </c>
      <c r="B51" s="10" t="n">
        <v>5</v>
      </c>
      <c r="C51" s="9" t="inlineStr">
        <is>
          <t>P2: Bronze / Silver / Gold layer counts and the six checks with pass/fail and counts.</t>
        </is>
      </c>
      <c r="D51" s="9" t="inlineStr">
        <is>
          <t>The data quality work has to be visible, not implied (G2).</t>
        </is>
      </c>
      <c r="E51" s="9" t="inlineStr">
        <is>
          <t>Counts match what the pipeline actually produced.</t>
        </is>
      </c>
      <c r="F51" s="11" t="inlineStr">
        <is>
          <t>—</t>
        </is>
      </c>
      <c r="G51" s="12" t="inlineStr">
        <is>
          <t>Done</t>
        </is>
      </c>
      <c r="H51" s="13" t="inlineStr"/>
    </row>
    <row r="52" ht="62" customHeight="1">
      <c r="A52" s="8" t="inlineStr">
        <is>
          <t>5.6</t>
        </is>
      </c>
      <c r="B52" s="10" t="n">
        <v>5</v>
      </c>
      <c r="C52" s="9" t="inlineStr">
        <is>
          <t>P2: the quarantine table — every rejected row with its failure_reason.</t>
        </is>
      </c>
      <c r="D52" s="9" t="inlineStr">
        <is>
          <t>This is the page that proves 'nothing is silently dropped'. Showing the rejects is the whole argument.</t>
        </is>
      </c>
      <c r="E52" s="9" t="inlineStr">
        <is>
          <t>Every quarantined row is visible and its reason is readable in plain language.</t>
        </is>
      </c>
      <c r="F52" s="11" t="inlineStr">
        <is>
          <t>—</t>
        </is>
      </c>
      <c r="G52" s="12" t="inlineStr">
        <is>
          <t>Done</t>
        </is>
      </c>
      <c r="H52" s="13" t="inlineStr"/>
    </row>
    <row r="53" ht="62" customHeight="1">
      <c r="A53" s="8" t="inlineStr">
        <is>
          <t>5.7</t>
        </is>
      </c>
      <c r="B53" s="10" t="n">
        <v>5</v>
      </c>
      <c r="C53" s="9" t="inlineStr">
        <is>
          <t>P2: the identity review queue — duplicate MRNs awaiting a human decision.</t>
        </is>
      </c>
      <c r="D53" s="9" t="inlineStr">
        <is>
          <t>Shows you understood that some problems are deliberately not automated.</t>
        </is>
      </c>
      <c r="E53" s="9" t="inlineStr">
        <is>
          <t>The pending pair is shown with its match fields and confidence.</t>
        </is>
      </c>
      <c r="F53" s="11" t="inlineStr">
        <is>
          <t>—</t>
        </is>
      </c>
      <c r="G53" s="12" t="inlineStr">
        <is>
          <t>Done</t>
        </is>
      </c>
      <c r="H53" s="13" t="inlineStr"/>
    </row>
    <row r="54" ht="62" customHeight="1">
      <c r="A54" s="8" t="inlineStr">
        <is>
          <t>5.8</t>
        </is>
      </c>
      <c r="B54" s="10" t="n">
        <v>5</v>
      </c>
      <c r="C54" s="9" t="inlineStr">
        <is>
          <t>P2: one before/after example of a remediated record.</t>
        </is>
      </c>
      <c r="D54" s="9" t="inlineStr">
        <is>
          <t>Concrete beats abstract. One visible correction explains remediation faster than a paragraph.</t>
        </is>
      </c>
      <c r="E54" s="9" t="inlineStr">
        <is>
          <t>Original value and corrected value are both shown, with the rule that changed it.</t>
        </is>
      </c>
      <c r="F54" s="11" t="inlineStr">
        <is>
          <t>—</t>
        </is>
      </c>
      <c r="G54" s="12" t="inlineStr">
        <is>
          <t>Done</t>
        </is>
      </c>
      <c r="H54" s="13" t="inlineStr"/>
    </row>
    <row r="55" ht="62" customHeight="1">
      <c r="A55" s="8" t="inlineStr">
        <is>
          <t>5.9</t>
        </is>
      </c>
      <c r="B55" s="10" t="n">
        <v>5</v>
      </c>
      <c r="C55" s="9" t="inlineStr">
        <is>
          <t>P2: display the catch rate, including which defect (if any) got through and why.</t>
        </is>
      </c>
      <c r="D55" s="9" t="inlineStr">
        <is>
          <t>An explained gap is more credible than a perfect score.</t>
        </is>
      </c>
      <c r="E55" s="9" t="inlineStr">
        <is>
          <t>The number on the page matches the DQ Matrix sheet.</t>
        </is>
      </c>
      <c r="F55" s="11" t="inlineStr">
        <is>
          <t>—</t>
        </is>
      </c>
      <c r="G55" s="12" t="inlineStr">
        <is>
          <t>Done</t>
        </is>
      </c>
      <c r="H55" s="13" t="inlineStr"/>
    </row>
    <row r="56" ht="62" customHeight="1">
      <c r="A56" s="8" t="inlineStr">
        <is>
          <t>5.10</t>
        </is>
      </c>
      <c r="B56" s="10" t="n">
        <v>5</v>
      </c>
      <c r="C56" s="9" t="inlineStr">
        <is>
          <t>Deploy. Get a public URL today, not on Day 7.</t>
        </is>
      </c>
      <c r="D56" s="9" t="inlineStr">
        <is>
          <t>Deployment always surprises you. Finding out on Day 5 costs an hour; finding out on Day 7 costs the project.</t>
        </is>
      </c>
      <c r="E56" s="9" t="inlineStr">
        <is>
          <t>A public URL loads P1 and P2 with real data.</t>
        </is>
      </c>
      <c r="F56" s="11" t="inlineStr">
        <is>
          <t>Vercel deploy, environment variables, build vs runtime data</t>
        </is>
      </c>
      <c r="G56" s="12" t="inlineStr">
        <is>
          <t>Done</t>
        </is>
      </c>
      <c r="H56" s="13" t="inlineStr">
        <is>
          <t>GitHub Pages (Vercel needs an interactive login). Live since Day 5.</t>
        </is>
      </c>
    </row>
    <row r="57" ht="62" customHeight="1">
      <c r="A57" s="8" t="inlineStr">
        <is>
          <t>6.1</t>
        </is>
      </c>
      <c r="B57" s="10" t="n">
        <v>6</v>
      </c>
      <c r="C57" s="9" t="inlineStr">
        <is>
          <t>Rewrite the role matrix in ACCESS_CONTROL.md from your own floor experience as a PCT.</t>
        </is>
      </c>
      <c r="D57" s="9" t="inlineStr">
        <is>
          <t>The doc says your version is more credible than the starting one. This is the part of the project only you can write.</t>
        </is>
      </c>
      <c r="E57" s="9" t="inlineStr">
        <is>
          <t>The matrix reflects real unit practice and the README says so.</t>
        </is>
      </c>
      <c r="F57" s="11" t="inlineStr">
        <is>
          <t>minimum necessary standard, role-based access control</t>
        </is>
      </c>
      <c r="G57" s="12" t="inlineStr">
        <is>
          <t>In progress</t>
        </is>
      </c>
      <c r="H57" s="13" t="inlineStr">
        <is>
          <t>Implemented from ACCESS_CONTROL.md starting matrix - still needs Franklin's revision from floor experience.</t>
        </is>
      </c>
    </row>
    <row r="58" ht="62" customHeight="1">
      <c r="A58" s="8" t="inlineStr">
        <is>
          <t>6.2</t>
        </is>
      </c>
      <c r="B58" s="10" t="n">
        <v>6</v>
      </c>
      <c r="C58" s="9" t="inlineStr">
        <is>
          <t>Implement role filtering in the query layer — server-side. Restricted fields must never reach the browser.</t>
        </is>
      </c>
      <c r="D58" s="9" t="inlineStr">
        <is>
          <t>A reviewer will open dev tools. If A1c values are in the payload for a PCT, the demo argues against its own thesis.</t>
        </is>
      </c>
      <c r="E58" s="9" t="inlineStr">
        <is>
          <t>Network payload for the PCT role contains no restricted fields at all.</t>
        </is>
      </c>
      <c r="F58" s="11" t="inlineStr">
        <is>
          <t>server-side vs client-side authorization, why hiding columns in CSS is not security</t>
        </is>
      </c>
      <c r="G58" s="12" t="inlineStr">
        <is>
          <t>Done</t>
        </is>
      </c>
      <c r="H58" s="13" t="inlineStr">
        <is>
          <t>Static site has no request-time server, so filtering is build-time SQL: one payload per role, restricted columns never SELECTed.</t>
        </is>
      </c>
    </row>
    <row r="59" ht="62" customHeight="1">
      <c r="A59" s="8" t="inlineStr">
        <is>
          <t>6.3</t>
        </is>
      </c>
      <c r="B59" s="10" t="n">
        <v>6</v>
      </c>
      <c r="C59" s="9" t="inlineStr">
        <is>
          <t>Apply row-level filtering too, not just columns: a PCT sees only patients on their assigned unit.</t>
        </is>
      </c>
      <c r="D59" s="9" t="inlineStr">
        <is>
          <t>FR4 says both. Column-only filtering is the shortcut people take, and it's the one that gets noticed.</t>
        </is>
      </c>
      <c r="E59" s="9" t="inlineStr">
        <is>
          <t>Switching to PCT changes the number of rows AND the number of columns.</t>
        </is>
      </c>
      <c r="F59" s="11" t="inlineStr">
        <is>
          <t>row-level security, predicate pushdown</t>
        </is>
      </c>
      <c r="G59" s="12" t="inlineStr">
        <is>
          <t>Done</t>
        </is>
      </c>
      <c r="H59" s="13" t="inlineStr">
        <is>
          <t>Unit = care setting of most recent encounter (Synthea has no rostering). 70 / 106 / 116 rows.</t>
        </is>
      </c>
    </row>
    <row r="60" ht="62" customHeight="1">
      <c r="A60" s="8" t="inlineStr">
        <is>
          <t>6.4</t>
        </is>
      </c>
      <c r="B60" s="10" t="n">
        <v>6</v>
      </c>
      <c r="C60" s="9" t="inlineStr">
        <is>
          <t>Show 'Not available for this role' placeholders instead of silently omitting restricted columns.</t>
        </is>
      </c>
      <c r="D60" s="9" t="inlineStr">
        <is>
          <t>The restriction being visible is the entire point. A missing column teaches the viewer nothing.</t>
        </is>
      </c>
      <c r="E60" s="9" t="inlineStr">
        <is>
          <t>Restricted columns are present and labelled, with no data behind them.</t>
        </is>
      </c>
      <c r="F60" s="11" t="inlineStr">
        <is>
          <t>—</t>
        </is>
      </c>
      <c r="G60" s="12" t="inlineStr">
        <is>
          <t>Done</t>
        </is>
      </c>
      <c r="H60" s="13" t="inlineStr"/>
    </row>
    <row r="61" ht="62" customHeight="1">
      <c r="A61" s="8" t="inlineStr">
        <is>
          <t>6.5</t>
        </is>
      </c>
      <c r="B61" s="10" t="n">
        <v>6</v>
      </c>
      <c r="C61" s="9" t="inlineStr">
        <is>
          <t>Build the gap-count-by-age-band chart. Decide the banding first (Decisions sheet).</t>
        </is>
      </c>
      <c r="D61" s="9" t="inlineStr">
        <is>
          <t>10-year bands are conventional; clinical bands are defensible if you can name the reasoning. Either is fine — having a reason is not optional.</t>
        </is>
      </c>
      <c r="E61" s="9" t="inlineStr">
        <is>
          <t>Chart renders from Gold and the bands are documented.</t>
        </is>
      </c>
      <c r="F61" s="11" t="inlineStr">
        <is>
          <t>age banding in population health, HEDIS age stratification</t>
        </is>
      </c>
      <c r="G61" s="12" t="inlineStr">
        <is>
          <t>Done</t>
        </is>
      </c>
      <c r="H61" s="13" t="inlineStr"/>
    </row>
    <row r="62" ht="62" customHeight="1">
      <c r="A62" s="8" t="inlineStr">
        <is>
          <t>6.6</t>
        </is>
      </c>
      <c r="B62" s="10" t="n">
        <v>6</v>
      </c>
      <c r="C62" s="9" t="inlineStr">
        <is>
          <t>TEST YOUR OWN CLAIM: select PCT, open dev tools, inspect the network response. Confirm no restricted data is present.</t>
        </is>
      </c>
      <c r="D62" s="9" t="inlineStr">
        <is>
          <t>You are checking the thing a skeptical reviewer will check first. Do it before they do.</t>
        </is>
      </c>
      <c r="E62" s="9" t="inlineStr">
        <is>
          <t>Screenshot or note confirming the payload is clean. If it isn't, 6.2 is not done.</t>
        </is>
      </c>
      <c r="F62" s="11" t="inlineStr">
        <is>
          <t>browser devtools network tab</t>
        </is>
      </c>
      <c r="G62" s="12" t="inlineStr">
        <is>
          <t>Done</t>
        </is>
      </c>
      <c r="H62" s="13" t="inlineStr">
        <is>
          <t>V6.1 passes: no restricted substring appears anywhere in care_gap_pct.json.</t>
        </is>
      </c>
    </row>
    <row r="63" ht="62" customHeight="1">
      <c r="A63" s="8" t="inlineStr">
        <is>
          <t>6.7</t>
        </is>
      </c>
      <c r="B63" s="10" t="n">
        <v>6</v>
      </c>
      <c r="C63" s="9" t="inlineStr">
        <is>
          <t>Commit Day 6.</t>
        </is>
      </c>
      <c r="D63" s="9" t="inlineStr">
        <is>
          <t>End every day with a commit.</t>
        </is>
      </c>
      <c r="E63" s="9" t="inlineStr">
        <is>
          <t>Day 6 commit exists.</t>
        </is>
      </c>
      <c r="F63" s="11" t="inlineStr">
        <is>
          <t>—</t>
        </is>
      </c>
      <c r="G63" s="12" t="inlineStr">
        <is>
          <t>Done</t>
        </is>
      </c>
      <c r="H63" s="13" t="inlineStr"/>
    </row>
    <row r="64" ht="62" customHeight="1">
      <c r="A64" s="8" t="inlineStr">
        <is>
          <t>7.1</t>
        </is>
      </c>
      <c r="B64" s="10" t="n">
        <v>7</v>
      </c>
      <c r="C64" s="9" t="inlineStr">
        <is>
          <t>Write the ten preset question chips.</t>
        </is>
      </c>
      <c r="D64" s="9" t="inlineStr">
        <is>
          <t>Chips are the demo path. Someone with 30 seconds clicks a chip — make those ten answers your best ones.</t>
        </is>
      </c>
      <c r="E64" s="9" t="inlineStr">
        <is>
          <t>Ten chips, all returning correct answers from Gold.</t>
        </is>
      </c>
      <c r="F64" s="11" t="inlineStr">
        <is>
          <t>—</t>
        </is>
      </c>
      <c r="G64" s="12" t="inlineStr">
        <is>
          <t>Done</t>
        </is>
      </c>
      <c r="H64" s="13" t="inlineStr"/>
    </row>
    <row r="65" ht="62" customHeight="1">
      <c r="A65" s="8" t="inlineStr">
        <is>
          <t>7.2</t>
        </is>
      </c>
      <c r="B65" s="10" t="n">
        <v>7</v>
      </c>
      <c r="C65" s="9" t="inlineStr">
        <is>
          <t>Implement natural language to SQL over the gold tables only.</t>
        </is>
      </c>
      <c r="D65" s="9" t="inlineStr">
        <is>
          <t>Scoping it to Gold keeps the schema small enough for the model to get right, and keeps quarantined data out of answers.</t>
        </is>
      </c>
      <c r="E65" s="9" t="inlineStr">
        <is>
          <t>A free-text question returns a correct answer from Gold.</t>
        </is>
      </c>
      <c r="F65" s="11" t="inlineStr">
        <is>
          <t>text-to-SQL prompting, passing schema as context, Claude API tool use</t>
        </is>
      </c>
      <c r="G65" s="12" t="inlineStr">
        <is>
          <t>Done</t>
        </is>
      </c>
      <c r="H65" s="13" t="inlineStr"/>
    </row>
    <row r="66" ht="62" customHeight="1">
      <c r="A66" s="8" t="inlineStr">
        <is>
          <t>7.3</t>
        </is>
      </c>
      <c r="B66" s="10" t="n">
        <v>7</v>
      </c>
      <c r="C66" s="9" t="inlineStr">
        <is>
          <t>Display the generated SQL above every single answer.</t>
        </is>
      </c>
      <c r="D66" s="9" t="inlineStr">
        <is>
          <t>Non-negotiable per the PRD. Showing the query is what makes the answer auditable instead of magic.</t>
        </is>
      </c>
      <c r="E66" s="9" t="inlineStr">
        <is>
          <t>SQL is visible for chip answers and free-text answers alike.</t>
        </is>
      </c>
      <c r="F66" s="11" t="inlineStr">
        <is>
          <t>—</t>
        </is>
      </c>
      <c r="G66" s="12" t="inlineStr">
        <is>
          <t>Done</t>
        </is>
      </c>
      <c r="H66" s="13" t="inlineStr"/>
    </row>
    <row r="67" ht="62" customHeight="1">
      <c r="A67" s="8" t="inlineStr">
        <is>
          <t>7.4</t>
        </is>
      </c>
      <c r="B67" s="10" t="n">
        <v>7</v>
      </c>
      <c r="C67" s="9" t="inlineStr">
        <is>
          <t>Enforce SELECT-only. Reject anything that is not a single SELECT statement.</t>
        </is>
      </c>
      <c r="D67" s="9" t="inlineStr">
        <is>
          <t>FR5. Assume the input is hostile — a reviewer WILL try to drop a table.</t>
        </is>
      </c>
      <c r="E67" s="9" t="inlineStr">
        <is>
          <t>Attempts at DROP, DELETE, UPDATE, INSERT and stacked statements are all refused.</t>
        </is>
      </c>
      <c r="F67" s="11" t="inlineStr">
        <is>
          <t>SQL injection, allowlist vs blocklist validation, parsing vs regex, read-only connections</t>
        </is>
      </c>
      <c r="G67" s="12" t="inlineStr">
        <is>
          <t>Done</t>
        </is>
      </c>
      <c r="H67" s="13" t="inlineStr">
        <is>
          <t>Allowlist on the statement's actual verb. A test found WITH x AS (SELECT 1) DELETE FROM patients passing - now walks the CTE list. 19/19 cases.</t>
        </is>
      </c>
    </row>
    <row r="68" ht="62" customHeight="1">
      <c r="A68" s="8" t="inlineStr">
        <is>
          <t>7.5</t>
        </is>
      </c>
      <c r="B68" s="10" t="n">
        <v>7</v>
      </c>
      <c r="C68" s="9" t="inlineStr">
        <is>
          <t>Adversarially test with five deliberately bad questions. Each must return one clean human sentence.</t>
        </is>
      </c>
      <c r="D68" s="9" t="inlineStr">
        <is>
          <t>Explicit success criterion in the PRD. Try: an out-of-scope clinical question, a request for a field no role can see, a destructive statement, gibberish, and a question about data that isn't in Gold.</t>
        </is>
      </c>
      <c r="E68" s="9" t="inlineStr">
        <is>
          <t>Five bad inputs, five plain sentences, zero stack traces (FR6).</t>
        </is>
      </c>
      <c r="F68" s="11" t="inlineStr">
        <is>
          <t>graceful degradation, error message design</t>
        </is>
      </c>
      <c r="G68" s="12" t="inlineStr">
        <is>
          <t>Done</t>
        </is>
      </c>
      <c r="H68" s="13" t="inlineStr">
        <is>
          <t>Free-text refuses anything unmatched with one sentence naming what it can answer.</t>
        </is>
      </c>
    </row>
    <row r="69" ht="62" customHeight="1">
      <c r="A69" s="8" t="inlineStr">
        <is>
          <t>7.6</t>
        </is>
      </c>
      <c r="B69" s="10" t="n">
        <v>7</v>
      </c>
      <c r="C69" s="9" t="inlineStr">
        <is>
          <t>Add the audit log — role, question, generated_sql, row_count, run_at — and surface it on P2.</t>
        </is>
      </c>
      <c r="D69" s="9" t="inlineStr">
        <is>
          <t>Access logging is a real requirement in clinical systems and costs you almost nothing to show.</t>
        </is>
      </c>
      <c r="E69" s="9" t="inlineStr">
        <is>
          <t>Every query appends a row, and the log is visible on the Pipeline page.</t>
        </is>
      </c>
      <c r="F69" s="11" t="inlineStr">
        <is>
          <t>audit logging, HIPAA audit controls</t>
        </is>
      </c>
      <c r="G69" s="12" t="inlineStr">
        <is>
          <t>Done</t>
        </is>
      </c>
      <c r="H69" s="13" t="inlineStr">
        <is>
          <t>Audit log on P4: role, question, SQL, rows, outcome. Refusals logged too.</t>
        </is>
      </c>
    </row>
    <row r="70" ht="62" customHeight="1">
      <c r="A70" s="8" t="inlineStr">
        <is>
          <t>7.7</t>
        </is>
      </c>
      <c r="B70" s="10" t="n">
        <v>7</v>
      </c>
      <c r="C70" s="9" t="inlineStr">
        <is>
          <t>Error sweep: click through every page trying to break it. No stack trace may be reachable.</t>
        </is>
      </c>
      <c r="D70" s="9" t="inlineStr">
        <is>
          <t>G4 and FR6. One raw exception on a portfolio site undoes a lot of careful work.</t>
        </is>
      </c>
      <c r="E70" s="9" t="inlineStr">
        <is>
          <t>You tried to break all four pages and got human sentences every time.</t>
        </is>
      </c>
      <c r="F70" s="11" t="inlineStr">
        <is>
          <t>error boundaries, Next.js error handling</t>
        </is>
      </c>
      <c r="G70" s="12" t="inlineStr">
        <is>
          <t>Done</t>
        </is>
      </c>
      <c r="H70" s="13" t="inlineStr"/>
    </row>
    <row r="71" ht="62" customHeight="1">
      <c r="A71" s="8" t="inlineStr">
        <is>
          <t>7.8</t>
        </is>
      </c>
      <c r="B71" s="10" t="n">
        <v>7</v>
      </c>
      <c r="C71" s="9" t="inlineStr">
        <is>
          <t>Fill every blank in README_TEMPLATE.md from the Metrics and DQ Matrix sheets.</t>
        </is>
      </c>
      <c r="D71" s="9" t="inlineStr">
        <is>
          <t>The README is what most people read instead of the app. Blanks left in look abandoned.</t>
        </is>
      </c>
      <c r="E71" s="9" t="inlineStr">
        <is>
          <t>No underscores remain in the README.</t>
        </is>
      </c>
      <c r="F71" s="11" t="inlineStr">
        <is>
          <t>—</t>
        </is>
      </c>
      <c r="G71" s="12" t="inlineStr">
        <is>
          <t>Done</t>
        </is>
      </c>
      <c r="H71" s="13" t="inlineStr"/>
    </row>
    <row r="72" ht="62" customHeight="1">
      <c r="A72" s="8" t="inlineStr">
        <is>
          <t>7.9</t>
        </is>
      </c>
      <c r="B72" s="10" t="n">
        <v>7</v>
      </c>
      <c r="C72" s="9" t="inlineStr">
        <is>
          <t>Write 'What I'd do differently at scale' in both the README and DATA_QUALITY_SPEC.md.</t>
        </is>
      </c>
      <c r="D72" s="9" t="inlineStr">
        <is>
          <t>This section is where a senior reviewer decides how you think. Name real tools and real trade-offs.</t>
        </is>
      </c>
      <c r="E72" s="9" t="inlineStr">
        <is>
          <t>Both sections written, naming specific approaches rather than generalities.</t>
        </is>
      </c>
      <c r="F72" s="11" t="inlineStr">
        <is>
          <t>Great Expectations, dbt tests, partitioning by load date, drift alerting</t>
        </is>
      </c>
      <c r="G72" s="12" t="inlineStr">
        <is>
          <t>Done</t>
        </is>
      </c>
      <c r="H72" s="13" t="inlineStr">
        <is>
          <t>Written from this week's real friction: DuckDB single-writer, the four-flag reproducibility failure, quarantine as a dead-letter queue.</t>
        </is>
      </c>
    </row>
    <row r="73" ht="62" customHeight="1">
      <c r="A73" s="8" t="inlineStr">
        <is>
          <t>7.10</t>
        </is>
      </c>
      <c r="B73" s="10" t="n">
        <v>7</v>
      </c>
      <c r="C73" s="9" t="inlineStr">
        <is>
          <t>Final deploy, then record the 90-second Loom.</t>
        </is>
      </c>
      <c r="D73" s="9" t="inlineStr">
        <is>
          <t>Script it: the question, the dirty data, the catch rate, the role switch. Ninety seconds is short — rehearse once.</t>
        </is>
      </c>
      <c r="E73" s="9" t="inlineStr">
        <is>
          <t>Public URL is current and the Loom link is in the README.</t>
        </is>
      </c>
      <c r="F73" s="11" t="inlineStr">
        <is>
          <t>—</t>
        </is>
      </c>
      <c r="G73" s="12" t="inlineStr">
        <is>
          <t>Not started</t>
        </is>
      </c>
      <c r="H73" s="13" t="inlineStr"/>
    </row>
    <row r="74" ht="62" customHeight="1">
      <c r="A74" s="8" t="inlineStr">
        <is>
          <t>7.11</t>
        </is>
      </c>
      <c r="B74" s="10" t="n">
        <v>7</v>
      </c>
      <c r="C74" s="9" t="inlineStr">
        <is>
          <t>Show it to a non-technical person. Can they explain what it does after 3 minutes?</t>
        </is>
      </c>
      <c r="D74" s="9" t="inlineStr">
        <is>
          <t>The last success criterion, and the only one you can't self-assess.</t>
        </is>
      </c>
      <c r="E74" s="9" t="inlineStr">
        <is>
          <t>They can explain it back to you without using the word 'pipeline'.</t>
        </is>
      </c>
      <c r="F74" s="11" t="inlineStr">
        <is>
          <t>—</t>
        </is>
      </c>
      <c r="G74" s="12" t="inlineStr">
        <is>
          <t>Not started</t>
        </is>
      </c>
      <c r="H74" s="13" t="inlineStr"/>
    </row>
  </sheetData>
  <autoFilter ref="A4:H74"/>
  <mergeCells count="2">
    <mergeCell ref="A2:H2"/>
    <mergeCell ref="A1:H1"/>
  </mergeCells>
  <conditionalFormatting sqref="G5:G74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dataValidations count="1">
    <dataValidation sqref="G5:G74" showDropDown="0" showInputMessage="0" showErrorMessage="0" allowBlank="1" type="list">
      <formula1>"Not started,In progress,Done,Blocked,Skipped"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44" customWidth="1" min="3" max="3"/>
    <col width="44" customWidth="1" min="4" max="4"/>
    <col width="10" customWidth="1" min="5" max="5"/>
    <col width="26" customWidth="1" min="6" max="6"/>
    <col width="44" customWidth="1" min="7" max="7"/>
  </cols>
  <sheetData>
    <row r="1" ht="22" customHeight="1">
      <c r="A1" s="1" t="inlineStr">
        <is>
          <t>Decisions log</t>
        </is>
      </c>
    </row>
    <row r="2" ht="30" customHeight="1">
      <c r="A2" s="6" t="inlineStr">
        <is>
          <t>Every judgment call the docs left open. The 'Rationale' column is what you'll actually be asked about — write it as if someone will read it aloud back to you.</t>
        </is>
      </c>
    </row>
    <row r="4" ht="30" customHeight="1">
      <c r="A4" s="7" t="inlineStr">
        <is>
          <t>ID</t>
        </is>
      </c>
      <c r="B4" s="7" t="inlineStr">
        <is>
          <t>Decision to make</t>
        </is>
      </c>
      <c r="C4" s="7" t="inlineStr">
        <is>
          <t>Options / considerations</t>
        </is>
      </c>
      <c r="D4" s="7" t="inlineStr">
        <is>
          <t>Why it matters</t>
        </is>
      </c>
      <c r="E4" s="7" t="inlineStr">
        <is>
          <t>Decide by</t>
        </is>
      </c>
      <c r="F4" s="7" t="inlineStr">
        <is>
          <t>Your call</t>
        </is>
      </c>
      <c r="G4" s="7" t="inlineStr">
        <is>
          <t>Rationale (one or two sentences)</t>
        </is>
      </c>
    </row>
    <row r="5" ht="74" customHeight="1">
      <c r="A5" s="8" t="inlineStr">
        <is>
          <t>D1</t>
        </is>
      </c>
      <c r="B5" s="9" t="inlineStr">
        <is>
          <t>Synthea population size</t>
        </is>
      </c>
      <c r="C5" s="9" t="inlineStr">
        <is>
          <t>1,000 keeps every query instant. 5,000+ makes row counts look more credible but slows every iteration all week.</t>
        </is>
      </c>
      <c r="D5" s="9" t="inlineStr">
        <is>
          <t>Affects iteration speed for seven days, and how impressive the Pipeline page numbers look.</t>
        </is>
      </c>
      <c r="E5" s="10" t="inlineStr">
        <is>
          <t>Day 1</t>
        </is>
      </c>
      <c r="F5" s="13" t="inlineStr">
        <is>
          <t>1,000 (-p 1000) → 1,153 patient records</t>
        </is>
      </c>
      <c r="G5" s="13" t="inlineStr">
        <is>
          <t>Synthea -p counts survivors, so 1,000 alive + 153 deceased. Keeps every query sub-second while still yielding a 161-patient cohort. Deceased are loaded but excluded from the gap denominator on Day 4.</t>
        </is>
      </c>
    </row>
    <row r="6" ht="74" customHeight="1">
      <c r="A6" s="8" t="inlineStr">
        <is>
          <t>D2</t>
        </is>
      </c>
      <c r="B6" s="9" t="inlineStr">
        <is>
          <t>Synthea state and random seed</t>
        </is>
      </c>
      <c r="C6" s="9" t="inlineStr">
        <is>
          <t>Any state; the seed is the important half.</t>
        </is>
      </c>
      <c r="D6" s="9" t="inlineStr">
        <is>
          <t>A fixed seed is what makes your README numbers reproducible by a reviewer. Without one, nobody can verify anything you claim.</t>
        </is>
      </c>
      <c r="E6" s="10" t="inlineStr">
        <is>
          <t>Day 1</t>
        </is>
      </c>
      <c r="F6" s="13" t="inlineStr">
        <is>
          <t>Massachusetts; -s 20260823 -cs 20260823 -r 20260823 -e 20260823</t>
        </is>
      </c>
      <c r="G6" s="13" t="inlineStr">
        <is>
          <t>V1.3 FAILED on the Day 1 command (-s only): four weeks later the same seed gave 1,151 patients, not 1,142. -s pins the patient RNG but the clinician seed (-cs), reference date (-r) and end date (-e) all default to the wall clock. Each was found by fixing one and seeing what still moved. With all four, two runs are identical in content. Data regenerated 2026-09-20; every number here is from the pinned output. See DAY_1_DECISIONS.md D2.</t>
        </is>
      </c>
    </row>
    <row r="7" ht="74" customHeight="1">
      <c r="A7" s="8" t="inlineStr">
        <is>
          <t>D3</t>
        </is>
      </c>
      <c r="B7" s="9" t="inlineStr">
        <is>
          <t>How many rows to corrupt per defect type</t>
        </is>
      </c>
      <c r="C7" s="9" t="inlineStr">
        <is>
          <t>Enough to be visible on P2; few enough that Gold still has a real cohort.</t>
        </is>
      </c>
      <c r="D7" s="9" t="inlineStr">
        <is>
          <t>Too few looks contrived on the page. Too many empties the care-gap list you're supposed to be producing.</t>
        </is>
      </c>
      <c r="E7" s="10" t="inlineStr">
        <is>
          <t>Day 2</t>
        </is>
      </c>
      <c r="F7" s="13" t="inlineStr">
        <is>
          <t>D1 40 · D2 150 · D3 20 · D4 8 · D5 25 · D6 6  (≈249 rows)</t>
        </is>
      </c>
      <c r="G7" s="13" t="inlineStr">
        <is>
          <t>Nothing exceeds 1% of its table (largest is D4 at 0.7% of patients). Enough that quarantine reads as a real work queue on P2, small enough that the 161-patient cohort and its 133 A1c-tested patients survive (V2.7). D3 rows are sampled from cohort patients so Decision D4 (remediate vs quarantine) visibly moves the gap count on Day 4.</t>
        </is>
      </c>
    </row>
    <row r="8" ht="74" customHeight="1">
      <c r="A8" s="8" t="inlineStr">
        <is>
          <t>D4</t>
        </is>
      </c>
      <c r="B8" s="9" t="inlineStr">
        <is>
          <t>DQ3 remediation rule for the A1c unit error</t>
        </is>
      </c>
      <c r="C8" s="9" t="inlineStr">
        <is>
          <t>Correct it by a conversion rule, or quarantine it. The spec hints at 'divisible pattern' but does not define the rule.</t>
        </is>
      </c>
      <c r="D8" s="9" t="inlineStr">
        <is>
          <t>This is the only check with two possible outcomes. The rule you write is the most technically interesting decision on Day 3.</t>
        </is>
      </c>
      <c r="E8" s="10" t="inlineStr">
        <is>
          <t>Day 3</t>
        </is>
      </c>
      <c r="F8" s="13" t="inlineStr">
        <is>
          <t>Remediate via eAG when 20 &lt; value ≤ 600 (rule A1C_MGDL_TO_PCT_EAG); quarantine everything else out of range</t>
        </is>
      </c>
      <c r="G8" s="13" t="inlineStr">
        <is>
          <t>A1c of 250 is impossible as a percent but ordinary as mg/dL glucose. Converted with the ADA eAG mapping A1c = (v + 46.7) / 28.7 → 10.3 %, original kept in remediation_log, Silver row flagged 'remediated' so the correction is reversible in one WHERE clause. Quarantine was the alternative; on this extract both give 69 open gaps, so decided on principle: a logged, reversible correction beats throwing the row away for everyone. Would want clinician sign-off before running on real data.</t>
        </is>
      </c>
    </row>
    <row r="9" ht="74" customHeight="1">
      <c r="A9" s="8" t="inlineStr">
        <is>
          <t>D5</t>
        </is>
      </c>
      <c r="B9" s="9" t="inlineStr">
        <is>
          <t>Cohort definition — 'diabetic patient'</t>
        </is>
      </c>
      <c r="C9" s="9" t="inlineStr">
        <is>
          <t>Any diabetes SNOMED code ever recorded, or only conditions with no resolved_date? Day 1 task 1.11 gives you the fill rate that decides it.</t>
        </is>
      </c>
      <c r="D9" s="9" t="inlineStr">
        <is>
          <t>Named in the docs as one of the two most interview-relevant lines in the repo. Changes your denominator, and therefore every number on P1.</t>
        </is>
      </c>
      <c r="E9" s="10" t="inlineStr">
        <is>
          <t>Day 4</t>
        </is>
      </c>
      <c r="F9" s="13" t="inlineStr">
        <is>
          <t>Any of 8 diabetes SNOMED codes ever recorded AND alive on the as-of date. Denominator = 116.</t>
        </is>
      </c>
      <c r="G9" s="13" t="inlineStr">
        <is>
          <t>Decided Day 1 — the evidence arrived early. Anchoring on 44054006 alone misses 73 patients who carry a diabetic complication with no underlying dx code (45% of cohort, and the sickest half). Prediabetes 714628002 excluded: 439 patients, would triple the denominator. 0 of 835 diabetes rows have a stop date, so "ever recorded" needs no date logic. See pipeline/cohort.py. Day 4 added the alive clause: 45 of the 161 code-carriers died before 2026-08-23, and a care-gap list is a call list - HEDIS excludes deceased members too.</t>
        </is>
      </c>
    </row>
    <row r="10" ht="74" customHeight="1">
      <c r="A10" s="8" t="inlineStr">
        <is>
          <t>D6</t>
        </is>
      </c>
      <c r="B10" s="9" t="inlineStr">
        <is>
          <t>Cohort definition — 'open A1c gap'</t>
        </is>
      </c>
      <c r="C10" s="9" t="inlineStr">
        <is>
          <t>No result in 365 days. But: does an ordered-but-not-resulted test count as a gap? What about a result from a different lab system?</t>
        </is>
      </c>
      <c r="D10" s="9" t="inlineStr">
        <is>
          <t>The other of the two. It is also the honest one — 'ordered but no result' is a real operational distinction that most demos ignore.</t>
        </is>
      </c>
      <c r="E10" s="10" t="inlineStr">
        <is>
          <t>Day 4</t>
        </is>
      </c>
      <c r="F10" s="13" t="inlineStr">
        <is>
          <t>No A1c result (4548-4, numeric, on/before as-of) in the 365 days before as-of. Never tested = gap. &gt;365 is a gap, 365 is not.</t>
        </is>
      </c>
      <c r="G10" s="13" t="inlineStr">
        <is>
          <t>Ordered-but-not-resulted is not observable in Synthea (no orders table, 0 procedure rows mention A1c), so v1 counts it the same as never ordered and says so. Results in other lab systems are likewise invisible: the number is 'no result we can see'. Remediated 250s count as results (D4). Result: 25 of 116 (21.6%), 21 of them never tested - the 21 an inner join would have silently deleted.</t>
        </is>
      </c>
    </row>
    <row r="11" ht="74" customHeight="1">
      <c r="A11" s="8" t="inlineStr">
        <is>
          <t>D7</t>
        </is>
      </c>
      <c r="B11" s="9" t="inlineStr">
        <is>
          <t>What counts as 'today' for age and gap math</t>
        </is>
      </c>
      <c r="C11" s="9" t="inlineStr">
        <is>
          <t>Run-time current date, or a fixed as-of date stored with the run.</t>
        </is>
      </c>
      <c r="D11" s="9" t="inlineStr">
        <is>
          <t>A run-time date makes your README numbers drift every day. A fixed date is reproducible but goes stale. Both are defensible; pick knowingly.</t>
        </is>
      </c>
      <c r="E11" s="10" t="inlineStr">
        <is>
          <t>Day 4</t>
        </is>
      </c>
      <c r="F11" s="13" t="inlineStr">
        <is>
          <t>Fixed as-of date 2026-08-23 (the Synthea end date), constant ASOF in validate.py</t>
        </is>
      </c>
      <c r="G11" s="13" t="inlineStr">
        <is>
          <t>The data stops on 2026-08-23; no patient ever gets another A1c. A wall-clock 'today' pushes more patients past the 12-month line every day for no reason (69 gaps on the as-of date, higher every day after). Freezing today makes the report describe the data, not the calendar. Same lesson as V1.3, one layer up.</t>
        </is>
      </c>
    </row>
    <row r="12" ht="74" customHeight="1">
      <c r="A12" s="8" t="inlineStr">
        <is>
          <t>D8</t>
        </is>
      </c>
      <c r="B12" s="9" t="inlineStr">
        <is>
          <t>Do quarantined rows ever re-enter the pipeline after remediation?</t>
        </is>
      </c>
      <c r="C12" s="9" t="inlineStr">
        <is>
          <t>Open question in the PRD. Reprocessable quarantine is the production answer; a one-way table is the honest v1 answer.</t>
        </is>
      </c>
      <c r="D12" s="9" t="inlineStr">
        <is>
          <t>Says whether quarantine is a dead-letter queue or a work queue. Good answer either way if you can name the trade-off.</t>
        </is>
      </c>
      <c r="E12" s="10" t="inlineStr">
        <is>
          <t>Day 4</t>
        </is>
      </c>
      <c r="F12" s="13" t="inlineStr">
        <is>
          <t>No. Quarantine is a dead-letter queue in v1; the replay path is named as scale work.</t>
        </is>
      </c>
      <c r="G12" s="13" t="inlineStr">
        <is>
          <t>Reprocessing needs three things this project does not have: a replay path, a resolved_at column, and a rule for whether a replayed row enters Silver under its original load date or today's. Building a half version would make the reconciliation assertion ambiguous, which is the one guarantee worth keeping exact. Written up in DATA_QUALITY_SPEC.md under what I would do differently at scale.</t>
        </is>
      </c>
    </row>
    <row r="13" ht="74" customHeight="1">
      <c r="A13" s="8" t="inlineStr">
        <is>
          <t>D9</t>
        </is>
      </c>
      <c r="B13" s="9" t="inlineStr">
        <is>
          <t>How the web app reads the data</t>
        </is>
      </c>
      <c r="C13" s="9" t="inlineStr">
        <is>
          <t>Query DuckDB at request time, or export Gold to static JSON at build time.</t>
        </is>
      </c>
      <c r="D13" s="9" t="inlineStr">
        <is>
          <t>Determines where you can deploy and whether P4's SQL is live. Decide before you build P2, not after.</t>
        </is>
      </c>
      <c r="E13" s="10" t="inlineStr">
        <is>
          <t>Day 5</t>
        </is>
      </c>
      <c r="F13" s="13" t="inlineStr">
        <is>
          <t>Static export at build time. JSON for the pages, Parquet for DuckDB-WASM.</t>
        </is>
      </c>
      <c r="G13" s="13" t="inlineStr">
        <is>
          <t>Decided Day 5, recorded here late. A server runtime holding clinical.duckdb would have failed on a serverless filesystem, and the deploy had to work on Day 5 rather than Day 7. Exporting both formats costs 458 KB: the pages render from JSON with no engine to load, and P4 queries the Parquet in the browser so the SQL it shows is the SQL that ran. The trade-off accepted is that the site reads a snapshot - re-running the pipeline without re-exporting leaves it stale, which is why export_web is the last stage of run_all.py.</t>
        </is>
      </c>
    </row>
    <row r="14" ht="74" customHeight="1">
      <c r="A14" s="8" t="inlineStr">
        <is>
          <t>D10</t>
        </is>
      </c>
      <c r="B14" s="9" t="inlineStr">
        <is>
          <t>Default role on page load</t>
        </is>
      </c>
      <c r="C14" s="9" t="inlineStr">
        <is>
          <t>PRD recommends PCT.</t>
        </is>
      </c>
      <c r="D14" s="9" t="inlineStr">
        <is>
          <t>PCT first means the viewer sees the most restricted view before the fullest one, which makes the role switch land harder.</t>
        </is>
      </c>
      <c r="E14" s="10" t="inlineStr">
        <is>
          <t>Day 6</t>
        </is>
      </c>
      <c r="F14" s="13" t="inlineStr">
        <is>
          <t>PCT — the most restricted view loads first</t>
        </is>
      </c>
      <c r="G14" s="13" t="inlineStr">
        <is>
          <t>The first thing a viewer sees should be a restriction, not a full table. Opening on PCT means the 12 'not available' cells are visible before anything else, which is what the page is arguing.</t>
        </is>
      </c>
    </row>
    <row r="15" ht="74" customHeight="1">
      <c r="A15" s="8" t="inlineStr">
        <is>
          <t>D11</t>
        </is>
      </c>
      <c r="B15" s="9" t="inlineStr">
        <is>
          <t>Age banding for the chart</t>
        </is>
      </c>
      <c r="C15" s="9" t="inlineStr">
        <is>
          <t>10-year bands, or clinical bands (e.g. HEDIS diabetes stratification).</t>
        </is>
      </c>
      <c r="D15" s="9" t="inlineStr">
        <is>
          <t>Small choice, but 'because HEDIS stratifies that way' is a much better answer than 'it looked nice'.</t>
        </is>
      </c>
      <c r="E15" s="10" t="inlineStr">
        <is>
          <t>Day 6</t>
        </is>
      </c>
      <c r="F15" s="13" t="inlineStr">
        <is>
          <t>HEDIS bands: 18-44, 45-64, 65-75, 76+</t>
        </is>
      </c>
      <c r="G15" s="13" t="inlineStr">
        <is>
          <t>Not round decades. The HEDIS diabetes measure applies to members 18-75 and stratifies 18-64 and 65-75, so three of the four boundaries are the measure's own. The 76+ band sits outside the measure's age range entirely - 21 of 116 patients - which is worth showing rather than hiding. Bands cover every patient (V6.8) and their gaps sum to 25 (V6.7).</t>
        </is>
      </c>
    </row>
    <row r="16" ht="74" customHeight="1">
      <c r="A16" s="8" t="inlineStr">
        <is>
          <t>D12</t>
        </is>
      </c>
      <c r="B16" s="9" t="inlineStr">
        <is>
          <t>Which model / API powers P4's text-to-SQL</t>
        </is>
      </c>
      <c r="C16" s="9" t="inlineStr">
        <is>
          <t>Provider, model, and whether the schema goes in the prompt.</t>
        </is>
      </c>
      <c r="D16" s="9" t="inlineStr">
        <is>
          <t>Affects cost, latency on a live demo, and what you say when asked how you kept it from hallucinating table names.</t>
        </is>
      </c>
      <c r="E16" s="10" t="inlineStr">
        <is>
          <t>Day 7</t>
        </is>
      </c>
      <c r="F16" s="13" t="inlineStr">
        <is>
          <t>No model. Ten preset questions with hand-written SQL, run in DuckDB-WASM in the browser.</t>
        </is>
      </c>
      <c r="G16" s="13" t="inlineStr">
        <is>
          <t>D9 made the site a static export, so there is nowhere to hold an API key - a key shipped to the browser is a public key. The plan allows this cut ('ten working chips and no free-text box still demonstrates the idea') and it buys something a hosted model would not: the SQL displayed is literally the SQL executed, against the same Parquet the site ships, so a reviewer can copy it and get the same rows. The free-text box matches wording to the presets and refuses everything else by naming what it can answer. The page says it is a query builder, not a language model.</t>
        </is>
      </c>
    </row>
    <row r="17" ht="74" customHeight="1">
      <c r="A17" s="8" t="inlineStr">
        <is>
          <t>D13</t>
        </is>
      </c>
      <c r="B17" s="9" t="inlineStr">
        <is>
          <t>Which lab defines the care gap — A1c or blood glucose</t>
        </is>
      </c>
      <c r="C17" s="9" t="inlineStr">
        <is>
          <t>Glucose is the larger table (10,439 vs 8,941) and covers more of the cohort. Both are reasons to reject it.</t>
        </is>
      </c>
      <c r="D17" s="9" t="inlineStr">
        <is>
          <t>Choosing glucose would silently break the claim that this implements a real published measure.</t>
        </is>
      </c>
      <c r="E17" s="10" t="inlineStr">
        <is>
          <t>Day 1</t>
        </is>
      </c>
      <c r="F17" s="13" t="inlineStr">
        <is>
          <t>HbA1c, LOINC 4548-4. Glucose (2339-0, 2345-7) is context only, never a gap definition.</t>
        </is>
      </c>
      <c r="G17" s="13" t="inlineStr">
        <is>
          <t>A1c integrates ~3 months of blood sugar; glucose is a snapshot. In our own data the within-patient, within-year spread is 6.7% of the mean for A1c vs 21.3% for glucose. Glucose is also drawn on everyone incidentally — 159 of 161 cohort patients have one vs 133 with an A1c — so its absence carries no signal. And HEDIS specifies A1c; no measure anywhere requires an annual glucose.</t>
        </is>
      </c>
    </row>
    <row r="18" ht="74" customHeight="1">
      <c r="A18" s="8" t="inlineStr">
        <is>
          <t>D14</t>
        </is>
      </c>
      <c r="B18" s="9" t="inlineStr">
        <is>
          <t>Synthea export format — CSV or FHIR</t>
        </is>
      </c>
      <c r="C18" s="9" t="inlineStr">
        <is>
          <t>FHIR JSON is more realistic interchange; CSV loads in one line of DuckDB.</t>
        </is>
      </c>
      <c r="D18" s="9" t="inlineStr">
        <is>
          <t>Determines how much of the seven days is spent parsing versus on the actual subject.</t>
        </is>
      </c>
      <c r="E18" s="10" t="inlineStr">
        <is>
          <t>Day 1</t>
        </is>
      </c>
      <c r="F18" s="13" t="inlineStr">
        <is>
          <t>CSV (--exporter.csv.export true, all three FHIR exporters false)</t>
        </is>
      </c>
      <c r="G18" s="13" t="inlineStr">
        <is>
          <t>FHIR conformance is an explicit PRD non-goal. The subject of this project is data quality, not nested resource parsing. CSV spends the time on the subject.</t>
        </is>
      </c>
    </row>
    <row r="19" ht="74" customHeight="1">
      <c r="A19" s="8" t="inlineStr">
        <is>
          <t>D15</t>
        </is>
      </c>
      <c r="B19" s="9" t="inlineStr">
        <is>
          <t>Which of the 18 Synthea CSVs get loaded into Bronze</t>
        </is>
      </c>
      <c r="C19" s="9" t="inlineStr">
        <is>
          <t>All 18 (773 MB), or the five the care gap actually needs.</t>
        </is>
      </c>
      <c r="D19" s="9" t="inlineStr">
        <is>
          <t>claims_transactions alone is 1,094,500 rows — 40% of total volume with no clinical role.</t>
        </is>
      </c>
      <c r="E19" s="10" t="inlineStr">
        <is>
          <t>Day 1</t>
        </is>
      </c>
      <c r="F19" s="13" t="inlineStr">
        <is>
          <t>Five: patients, encounters, conditions, observations, medications.</t>
        </is>
      </c>
      <c r="G19" s="13" t="inlineStr">
        <is>
          <t>Everything else is billing (claims, payers), or clinical data with no bearing on an A1c gap (imaging_studies, procedures, devices, supplies, allergies, careplans, immunizations). organizations/providers may be added on Day 6 if role views need facility names.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34" customWidth="1" min="4" max="4"/>
    <col width="30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 ht="22" customHeight="1">
      <c r="A1" s="1" t="inlineStr">
        <is>
          <t>Injected defects vs. checks — catch rate</t>
        </is>
      </c>
    </row>
    <row r="2" ht="30" customHeight="1">
      <c r="A2" s="6" t="inlineStr">
        <is>
          <t>Fill the amber columns on Day 3. The catch rate calculates itself. If it is below 100%, say which defect got through and why — an explained gap beats a claimed perfect score.</t>
        </is>
      </c>
    </row>
    <row r="4" ht="30" customHeight="1">
      <c r="A4" s="7" t="inlineStr">
        <is>
          <t>Defect</t>
        </is>
      </c>
      <c r="B4" s="7" t="inlineStr">
        <is>
          <t>What it is</t>
        </is>
      </c>
      <c r="C4" s="7" t="inlineStr">
        <is>
          <t>Table</t>
        </is>
      </c>
      <c r="D4" s="7" t="inlineStr">
        <is>
          <t>Realistic cause</t>
        </is>
      </c>
      <c r="E4" s="7" t="inlineStr">
        <is>
          <t>Check that should catch it</t>
        </is>
      </c>
      <c r="F4" s="7" t="inlineStr">
        <is>
          <t>Rows injected</t>
        </is>
      </c>
      <c r="G4" s="7" t="inlineStr">
        <is>
          <t>Rows detected</t>
        </is>
      </c>
      <c r="H4" s="7" t="inlineStr">
        <is>
          <t>Type caught?</t>
        </is>
      </c>
      <c r="I4" s="7" t="inlineStr">
        <is>
          <t>Notes / why it escaped</t>
        </is>
      </c>
    </row>
    <row r="5" ht="34" customHeight="1">
      <c r="A5" s="8" t="inlineStr">
        <is>
          <t>D1</t>
        </is>
      </c>
      <c r="B5" s="9" t="inlineStr">
        <is>
          <t>Duplicate encounter rows</t>
        </is>
      </c>
      <c r="C5" s="9" t="inlineStr">
        <is>
          <t>encounters</t>
        </is>
      </c>
      <c r="D5" s="9" t="inlineStr">
        <is>
          <t>Interface replay / double post</t>
        </is>
      </c>
      <c r="E5" s="9" t="inlineStr">
        <is>
          <t>DQ1 — encounter uniqueness</t>
        </is>
      </c>
      <c r="F5" s="12" t="n">
        <v>40</v>
      </c>
      <c r="G5" s="12" t="n">
        <v>40</v>
      </c>
      <c r="H5" s="8">
        <f>IF(COUNT(G5)=0,"",IF(G5&gt;0,"YES","NO"))</f>
        <v/>
      </c>
      <c r="I5" s="13" t="inlineStr">
        <is>
          <t>Caught by its own check, all rows</t>
        </is>
      </c>
    </row>
    <row r="6" ht="34" customHeight="1">
      <c r="A6" s="8" t="inlineStr">
        <is>
          <t>D2</t>
        </is>
      </c>
      <c r="B6" s="9" t="inlineStr">
        <is>
          <t>Null patient_id</t>
        </is>
      </c>
      <c r="C6" s="9" t="inlineStr">
        <is>
          <t>observations</t>
        </is>
      </c>
      <c r="D6" s="9" t="inlineStr">
        <is>
          <t>Failed foreign key on ingest</t>
        </is>
      </c>
      <c r="E6" s="9" t="inlineStr">
        <is>
          <t>DQ2 — referential integrity</t>
        </is>
      </c>
      <c r="F6" s="12" t="n">
        <v>150</v>
      </c>
      <c r="G6" s="12" t="n">
        <v>150</v>
      </c>
      <c r="H6" s="8">
        <f>IF(COUNT(G6)=0,"",IF(G6&gt;0,"YES","NO"))</f>
        <v/>
      </c>
      <c r="I6" s="13" t="inlineStr">
        <is>
          <t>Caught by its own check, all rows</t>
        </is>
      </c>
    </row>
    <row r="7" ht="34" customHeight="1">
      <c r="A7" s="8" t="inlineStr">
        <is>
          <t>D3</t>
        </is>
      </c>
      <c r="B7" s="9" t="inlineStr">
        <is>
          <t>A1c value of 250</t>
        </is>
      </c>
      <c r="C7" s="9" t="inlineStr">
        <is>
          <t>observations</t>
        </is>
      </c>
      <c r="D7" s="9" t="inlineStr">
        <is>
          <t>Unit error: mg/dL in a % field</t>
        </is>
      </c>
      <c r="E7" s="9" t="inlineStr">
        <is>
          <t>DQ3 — A1c plausibility</t>
        </is>
      </c>
      <c r="F7" s="12" t="n">
        <v>20</v>
      </c>
      <c r="G7" s="12" t="n">
        <v>20</v>
      </c>
      <c r="H7" s="8">
        <f>IF(COUNT(G7)=0,"",IF(G7&gt;0,"YES","NO"))</f>
        <v/>
      </c>
      <c r="I7" s="13" t="inlineStr">
        <is>
          <t>Caught by its own check, all rows</t>
        </is>
      </c>
    </row>
    <row r="8" ht="34" customHeight="1">
      <c r="A8" s="8" t="inlineStr">
        <is>
          <t>D4</t>
        </is>
      </c>
      <c r="B8" s="9" t="inlineStr">
        <is>
          <t>Birth date in the future</t>
        </is>
      </c>
      <c r="C8" s="9" t="inlineStr">
        <is>
          <t>patients</t>
        </is>
      </c>
      <c r="D8" s="9" t="inlineStr">
        <is>
          <t>Registration typo</t>
        </is>
      </c>
      <c r="E8" s="9" t="inlineStr">
        <is>
          <t>DQ4 — birth date sanity</t>
        </is>
      </c>
      <c r="F8" s="12" t="n">
        <v>8</v>
      </c>
      <c r="G8" s="12" t="n">
        <v>8</v>
      </c>
      <c r="H8" s="8">
        <f>IF(COUNT(G8)=0,"",IF(G8&gt;0,"YES","NO"))</f>
        <v/>
      </c>
      <c r="I8" s="13" t="inlineStr">
        <is>
          <t>Caught by its own check, all rows</t>
        </is>
      </c>
    </row>
    <row r="9" ht="34" customHeight="1">
      <c r="A9" s="8" t="inlineStr">
        <is>
          <t>D5</t>
        </is>
      </c>
      <c r="B9" s="9" t="inlineStr">
        <is>
          <t>Discharge before admission</t>
        </is>
      </c>
      <c r="C9" s="9" t="inlineStr">
        <is>
          <t>encounters</t>
        </is>
      </c>
      <c r="D9" s="9" t="inlineStr">
        <is>
          <t>Timezone or clock error</t>
        </is>
      </c>
      <c r="E9" s="9" t="inlineStr">
        <is>
          <t>DQ5 — encounter chronology</t>
        </is>
      </c>
      <c r="F9" s="12" t="n">
        <v>25</v>
      </c>
      <c r="G9" s="12" t="n">
        <v>25</v>
      </c>
      <c r="H9" s="8">
        <f>IF(COUNT(G9)=0,"",IF(G9&gt;0,"YES","NO"))</f>
        <v/>
      </c>
      <c r="I9" s="13" t="inlineStr">
        <is>
          <t>Caught by its own check, all rows</t>
        </is>
      </c>
    </row>
    <row r="10" ht="34" customHeight="1">
      <c r="A10" s="8" t="inlineStr">
        <is>
          <t>D6</t>
        </is>
      </c>
      <c r="B10" s="9" t="inlineStr">
        <is>
          <t>Same patient, two MRNs</t>
        </is>
      </c>
      <c r="C10" s="9" t="inlineStr">
        <is>
          <t>patients</t>
        </is>
      </c>
      <c r="D10" s="9" t="inlineStr">
        <is>
          <t>Registered twice at different sites</t>
        </is>
      </c>
      <c r="E10" s="9" t="inlineStr">
        <is>
          <t>DQ6 — patient identity</t>
        </is>
      </c>
      <c r="F10" s="12" t="n">
        <v>6</v>
      </c>
      <c r="G10" s="12" t="n">
        <v>6</v>
      </c>
      <c r="H10" s="8">
        <f>IF(COUNT(G10)=0,"",IF(G10&gt;0,"YES","NO"))</f>
        <v/>
      </c>
      <c r="I10" s="13" t="inlineStr">
        <is>
          <t>Caught by its own check, all rows</t>
        </is>
      </c>
    </row>
    <row r="12">
      <c r="B12" s="3" t="inlineStr">
        <is>
          <t>Catch rate</t>
        </is>
      </c>
    </row>
    <row r="13" ht="26" customHeight="1">
      <c r="B13" s="14" t="inlineStr">
        <is>
          <t>Defect types detected</t>
        </is>
      </c>
      <c r="C13" s="17">
        <f>COUNTIF(H5:H10,"YES")&amp;" of 6"</f>
        <v/>
      </c>
      <c r="D13" s="6" t="inlineStr">
        <is>
          <t>This is the number the README and the Pipeline page quote.</t>
        </is>
      </c>
    </row>
    <row r="14" ht="26" customHeight="1">
      <c r="B14" s="14" t="inlineStr">
        <is>
          <t>Catch rate (by type)</t>
        </is>
      </c>
      <c r="C14" s="18">
        <f>COUNTIF(H5:H10,"YES")/6</f>
        <v/>
      </c>
      <c r="D14" s="6" t="inlineStr">
        <is>
          <t>Percent for the headline.</t>
        </is>
      </c>
    </row>
    <row r="15" ht="26" customHeight="1">
      <c r="B15" s="14" t="inlineStr">
        <is>
          <t>Catch rate (by row)</t>
        </is>
      </c>
      <c r="C15" s="18">
        <f>IF(SUM(F5:F10)=0,"",SUM(G5:G10)/SUM(F5:F10))</f>
        <v/>
      </c>
      <c r="D15" s="6" t="inlineStr">
        <is>
          <t>Stricter measure. Detecting one duplicate of eight is not the same as catching the defect class.</t>
        </is>
      </c>
    </row>
    <row r="16" ht="26" customHeight="1">
      <c r="B16" s="14" t="inlineStr">
        <is>
          <t>Rows injected (total)</t>
        </is>
      </c>
      <c r="C16" s="17">
        <f>SUM(F5:F10)</f>
        <v/>
      </c>
      <c r="D16" s="6" t="inlineStr"/>
    </row>
    <row r="17" ht="26" customHeight="1">
      <c r="B17" s="14" t="inlineStr">
        <is>
          <t>Rows detected (total)</t>
        </is>
      </c>
      <c r="C17" s="17">
        <f>SUM(G5:G10)</f>
        <v/>
      </c>
      <c r="D17" s="6" t="inlineStr"/>
    </row>
    <row r="19">
      <c r="B19" s="19" t="inlineStr">
        <is>
          <t>Reminder: 'detected' means the row landed in quarantine, identity_review, or remediation_log with the right check_id — not that you saw it in a printout.</t>
        </is>
      </c>
    </row>
  </sheetData>
  <mergeCells count="3">
    <mergeCell ref="A1:I1"/>
    <mergeCell ref="B19:I19"/>
    <mergeCell ref="A2:I2"/>
  </mergeCells>
  <conditionalFormatting sqref="H5:H10">
    <cfRule type="cellIs" priority="1" operator="equal" dxfId="0">
      <formula>"YES"</formula>
    </cfRule>
    <cfRule type="cellIs" priority="2" operator="equal" dxfId="1">
      <formula>"NO"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40" customWidth="1" min="4" max="4"/>
    <col width="14" customWidth="1" min="5" max="5"/>
  </cols>
  <sheetData>
    <row r="1" ht="22" customHeight="1">
      <c r="A1" s="1" t="inlineStr">
        <is>
          <t>Metrics to collect</t>
        </is>
      </c>
    </row>
    <row r="2" ht="30" customHeight="1">
      <c r="A2" s="6" t="inlineStr">
        <is>
          <t>Measure once, reuse everywhere. Every one of these fills a specific blank in README_TEMPLATE.md or a number on a page.</t>
        </is>
      </c>
    </row>
    <row r="4" ht="30" customHeight="1">
      <c r="A4" s="7" t="inlineStr">
        <is>
          <t>#</t>
        </is>
      </c>
      <c r="B4" s="7" t="inlineStr">
        <is>
          <t>Metric</t>
        </is>
      </c>
      <c r="C4" s="7" t="inlineStr">
        <is>
          <t>Your number</t>
        </is>
      </c>
      <c r="D4" s="7" t="inlineStr">
        <is>
          <t>Where it goes</t>
        </is>
      </c>
      <c r="E4" s="7" t="inlineStr">
        <is>
          <t>When you measure it</t>
        </is>
      </c>
    </row>
    <row r="5" ht="24" customHeight="1">
      <c r="A5" s="10" t="n">
        <v>1</v>
      </c>
      <c r="B5" s="9" t="inlineStr">
        <is>
          <t>Bronze rows — patients</t>
        </is>
      </c>
      <c r="C5" s="12" t="n">
        <v>1153</v>
      </c>
      <c r="D5" s="9" t="inlineStr">
        <is>
          <t>README architecture table, P2 layer counts</t>
        </is>
      </c>
      <c r="E5" s="10" t="inlineStr">
        <is>
          <t>Day 1</t>
        </is>
      </c>
    </row>
    <row r="6" ht="24" customHeight="1">
      <c r="A6" s="10" t="n">
        <v>2</v>
      </c>
      <c r="B6" s="9" t="inlineStr">
        <is>
          <t>Bronze rows — encounters</t>
        </is>
      </c>
      <c r="C6" s="12" t="n">
        <v>67755</v>
      </c>
      <c r="D6" s="9" t="inlineStr">
        <is>
          <t>README architecture table, P2 layer counts</t>
        </is>
      </c>
      <c r="E6" s="10" t="inlineStr">
        <is>
          <t>Day 1</t>
        </is>
      </c>
    </row>
    <row r="7" ht="24" customHeight="1">
      <c r="A7" s="10" t="n">
        <v>3</v>
      </c>
      <c r="B7" s="9" t="inlineStr">
        <is>
          <t>Bronze rows — conditions</t>
        </is>
      </c>
      <c r="C7" s="12" t="n">
        <v>40811</v>
      </c>
      <c r="D7" s="9" t="inlineStr">
        <is>
          <t>README architecture table, P2 layer counts</t>
        </is>
      </c>
      <c r="E7" s="10" t="inlineStr">
        <is>
          <t>Day 1</t>
        </is>
      </c>
    </row>
    <row r="8" ht="24" customHeight="1">
      <c r="A8" s="10" t="n">
        <v>4</v>
      </c>
      <c r="B8" s="9" t="inlineStr">
        <is>
          <t>Bronze rows — observations</t>
        </is>
      </c>
      <c r="C8" s="12" t="n">
        <v>870510</v>
      </c>
      <c r="D8" s="9" t="inlineStr">
        <is>
          <t>README architecture table, P2 layer counts</t>
        </is>
      </c>
      <c r="E8" s="10" t="inlineStr">
        <is>
          <t>Day 1</t>
        </is>
      </c>
    </row>
    <row r="9" ht="24" customHeight="1">
      <c r="A9" s="10" t="n">
        <v>5</v>
      </c>
      <c r="B9" s="9" t="inlineStr">
        <is>
          <t>Bronze rows — medications</t>
        </is>
      </c>
      <c r="C9" s="12" t="n">
        <v>59273</v>
      </c>
      <c r="D9" s="9" t="inlineStr">
        <is>
          <t>README architecture table, P2 layer counts</t>
        </is>
      </c>
      <c r="E9" s="10" t="inlineStr">
        <is>
          <t>Day 1</t>
        </is>
      </c>
    </row>
    <row r="10" ht="24" customHeight="1">
      <c r="A10" s="10" t="n">
        <v>6</v>
      </c>
      <c r="B10" s="9" t="inlineStr">
        <is>
          <t>Distinct diabetes SNOMED codes found</t>
        </is>
      </c>
      <c r="C10" s="12" t="inlineStr">
        <is>
          <t>8 in cohort (9 matched "%diabet%"; prediabetes 714628002 excluded)</t>
        </is>
      </c>
      <c r="D10" s="9" t="inlineStr">
        <is>
          <t>DATA_DICTIONARY.md code table</t>
        </is>
      </c>
      <c r="E10" s="10" t="inlineStr">
        <is>
          <t>Day 1</t>
        </is>
      </c>
    </row>
    <row r="11" ht="24" customHeight="1">
      <c r="A11" s="10" t="n">
        <v>7</v>
      </c>
      <c r="B11" s="9" t="inlineStr">
        <is>
          <t>A1c LOINC code confirmed</t>
        </is>
      </c>
      <c r="C11" s="12" t="inlineStr">
        <is>
          <t>4548-4 — Hemoglobin A1c/Hemoglobin.total in Blood, units "%"</t>
        </is>
      </c>
      <c r="D11" s="9" t="inlineStr">
        <is>
          <t>DATA_DICTIONARY.md code table</t>
        </is>
      </c>
      <c r="E11" s="10" t="inlineStr">
        <is>
          <t>Day 1</t>
        </is>
      </c>
    </row>
    <row r="12" ht="24" customHeight="1">
      <c r="A12" s="10" t="n">
        <v>8</v>
      </c>
      <c r="B12" s="9" t="inlineStr">
        <is>
          <t>A1c value range (min / median / max)</t>
        </is>
      </c>
      <c r="C12" s="12" t="inlineStr">
        <is>
          <t>2.3 / 4.1 / 8.8  (n=8,941; 951 below DQ3 floor of 3.0 → revise floor to 2.0)</t>
        </is>
      </c>
      <c r="D12" s="9" t="inlineStr">
        <is>
          <t>Sanity check for DQ3's 3.0-20.0 bounds</t>
        </is>
      </c>
      <c r="E12" s="10" t="inlineStr">
        <is>
          <t>Day 1</t>
        </is>
      </c>
    </row>
    <row r="13" ht="24" customHeight="1">
      <c r="A13" s="10" t="n">
        <v>9</v>
      </c>
      <c r="B13" s="9" t="inlineStr">
        <is>
          <t>% of diabetes conditions with a resolved_date</t>
        </is>
      </c>
      <c r="C13" s="12" t="inlineStr">
        <is>
          <t>0.0%  (0 of 835 diabetes condition rows have a STOP date)</t>
        </is>
      </c>
      <c r="D13" s="9" t="inlineStr">
        <is>
          <t>Decides cohort definition D5</t>
        </is>
      </c>
      <c r="E13" s="10" t="inlineStr">
        <is>
          <t>Day 1</t>
        </is>
      </c>
    </row>
    <row r="14" ht="24" customHeight="1">
      <c r="A14" s="10" t="n">
        <v>10</v>
      </c>
      <c r="B14" s="9" t="inlineStr">
        <is>
          <t>Rows corrupted (total)</t>
        </is>
      </c>
      <c r="C14" s="12" t="n">
        <v>249</v>
      </c>
      <c r="D14" s="9" t="inlineStr">
        <is>
          <t>P2 pipeline page</t>
        </is>
      </c>
      <c r="E14" s="10" t="inlineStr">
        <is>
          <t>Day 2</t>
        </is>
      </c>
    </row>
    <row r="15" ht="24" customHeight="1">
      <c r="A15" s="10" t="n">
        <v>11</v>
      </c>
      <c r="B15" s="9" t="inlineStr">
        <is>
          <t>Silver rows (total, all tables)</t>
        </is>
      </c>
      <c r="C15" s="12" t="n">
        <v>1039325</v>
      </c>
      <c r="D15" s="9" t="inlineStr">
        <is>
          <t>README architecture table</t>
        </is>
      </c>
      <c r="E15" s="10" t="inlineStr">
        <is>
          <t>Day 3</t>
        </is>
      </c>
    </row>
    <row r="16" ht="24" customHeight="1">
      <c r="A16" s="10" t="n">
        <v>12</v>
      </c>
      <c r="B16" s="9" t="inlineStr">
        <is>
          <t>Quarantined rows (total)</t>
        </is>
      </c>
      <c r="C16" s="12" t="n">
        <v>223</v>
      </c>
      <c r="D16" s="9" t="inlineStr">
        <is>
          <t>README architecture table, P2</t>
        </is>
      </c>
      <c r="E16" s="10" t="inlineStr">
        <is>
          <t>Day 3</t>
        </is>
      </c>
    </row>
    <row r="17" ht="24" customHeight="1">
      <c r="A17" s="10" t="n">
        <v>13</v>
      </c>
      <c r="B17" s="9" t="inlineStr">
        <is>
          <t>Rows in identity_review</t>
        </is>
      </c>
      <c r="C17" s="12" t="n">
        <v>6</v>
      </c>
      <c r="D17" s="9" t="inlineStr">
        <is>
          <t>P2 identity queue</t>
        </is>
      </c>
      <c r="E17" s="10" t="inlineStr">
        <is>
          <t>Day 3</t>
        </is>
      </c>
    </row>
    <row r="18" ht="24" customHeight="1">
      <c r="A18" s="10" t="n">
        <v>14</v>
      </c>
      <c r="B18" s="9" t="inlineStr">
        <is>
          <t>Rows in remediation_log</t>
        </is>
      </c>
      <c r="C18" s="12" t="n">
        <v>20</v>
      </c>
      <c r="D18" s="9" t="inlineStr">
        <is>
          <t>P2 before/after example</t>
        </is>
      </c>
      <c r="E18" s="10" t="inlineStr">
        <is>
          <t>Day 3</t>
        </is>
      </c>
    </row>
    <row r="19" ht="24" customHeight="1">
      <c r="A19" s="10" t="n">
        <v>15</v>
      </c>
      <c r="B19" s="9" t="inlineStr">
        <is>
          <t>Catch rate</t>
        </is>
      </c>
      <c r="C19" s="12" t="inlineStr">
        <is>
          <t>6 of 6 types, 249 of 249 rows</t>
        </is>
      </c>
      <c r="D19" s="9" t="inlineStr">
        <is>
          <t>README headline, P2 headline</t>
        </is>
      </c>
      <c r="E19" s="10" t="inlineStr">
        <is>
          <t>Day 3</t>
        </is>
      </c>
    </row>
    <row r="20" ht="24" customHeight="1">
      <c r="A20" s="10" t="n">
        <v>16</v>
      </c>
      <c r="B20" s="9" t="inlineStr">
        <is>
          <t>Diabetic patients in cohort (denominator)</t>
        </is>
      </c>
      <c r="C20" s="12" t="n">
        <v>116</v>
      </c>
      <c r="D20" s="9" t="inlineStr">
        <is>
          <t>README result line, P1 headline</t>
        </is>
      </c>
      <c r="E20" s="10" t="inlineStr">
        <is>
          <t>Day 4</t>
        </is>
      </c>
    </row>
    <row r="21" ht="24" customHeight="1">
      <c r="A21" s="10" t="n">
        <v>17</v>
      </c>
      <c r="B21" s="9" t="inlineStr">
        <is>
          <t>Patients with an open A1c gap (numerator)</t>
        </is>
      </c>
      <c r="C21" s="12" t="n">
        <v>25</v>
      </c>
      <c r="D21" s="9" t="inlineStr">
        <is>
          <t>README result line, P1 headline</t>
        </is>
      </c>
      <c r="E21" s="10" t="inlineStr">
        <is>
          <t>Day 4</t>
        </is>
      </c>
    </row>
    <row r="22" ht="24" customHeight="1">
      <c r="A22" s="10" t="n">
        <v>18</v>
      </c>
      <c r="B22" s="9" t="inlineStr">
        <is>
          <t>Gap rate %</t>
        </is>
      </c>
      <c r="C22" s="12" t="inlineStr">
        <is>
          <t>21.6%</t>
        </is>
      </c>
      <c r="D22" s="9" t="inlineStr">
        <is>
          <t>P1 headline</t>
        </is>
      </c>
      <c r="E22" s="10" t="inlineStr">
        <is>
          <t>Day 4</t>
        </is>
      </c>
    </row>
    <row r="23" ht="24" customHeight="1">
      <c r="A23" s="10" t="n">
        <v>19</v>
      </c>
      <c r="B23" s="9" t="inlineStr">
        <is>
          <t>Patients never tested for A1c</t>
        </is>
      </c>
      <c r="C23" s="12" t="n">
        <v>21</v>
      </c>
      <c r="D23" s="9" t="inlineStr">
        <is>
          <t>P3 — the highest-risk subgroup</t>
        </is>
      </c>
      <c r="E23" s="10" t="inlineStr">
        <is>
          <t>Day 1</t>
        </is>
      </c>
    </row>
    <row r="24" ht="24" customHeight="1">
      <c r="A24" s="10" t="n">
        <v>20</v>
      </c>
      <c r="B24" s="9" t="inlineStr">
        <is>
          <t>End-to-end pipeline runtime</t>
        </is>
      </c>
      <c r="C24" s="12" t="inlineStr">
        <is>
          <t>13 s warehouse-to-Gold; ~4 min with --generate (Synthea + jar download)</t>
        </is>
      </c>
      <c r="D24" s="9" t="inlineStr">
        <is>
          <t>Nice to quote when asked about scale</t>
        </is>
      </c>
      <c r="E24" s="10" t="inlineStr">
        <is>
          <t>Day 4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52" customWidth="1" min="3" max="3"/>
    <col width="12" customWidth="1" min="4" max="4"/>
    <col width="14" customWidth="1" min="5" max="5"/>
    <col width="52" customWidth="1" min="6" max="6"/>
  </cols>
  <sheetData>
    <row r="1" ht="22" customHeight="1">
      <c r="A1" s="1" t="inlineStr">
        <is>
          <t>Learning log</t>
        </is>
      </c>
    </row>
    <row r="2" ht="30" customHeight="1">
      <c r="A2" s="6" t="inlineStr">
        <is>
          <t>Rate yourself 1-5 on saying the answer out loud, unprompted, with no notes. Anything 3 or below is a hole to close before you send this link to anyone.</t>
        </is>
      </c>
    </row>
    <row r="4" ht="30" customHeight="1">
      <c r="A4" s="7" t="inlineStr">
        <is>
          <t>#</t>
        </is>
      </c>
      <c r="B4" s="7" t="inlineStr">
        <is>
          <t>Concept</t>
        </is>
      </c>
      <c r="C4" s="7" t="inlineStr">
        <is>
          <t>The question you should be able to answer cold</t>
        </is>
      </c>
      <c r="D4" s="7" t="inlineStr">
        <is>
          <t>Day it comes up</t>
        </is>
      </c>
      <c r="E4" s="7" t="inlineStr">
        <is>
          <t>Confidence 1-5</t>
        </is>
      </c>
      <c r="F4" s="7" t="inlineStr">
        <is>
          <t>Your answer, in one or two sentences</t>
        </is>
      </c>
    </row>
    <row r="5" ht="36" customHeight="1">
      <c r="A5" s="10" t="n">
        <v>1</v>
      </c>
      <c r="B5" s="9" t="inlineStr">
        <is>
          <t>Medallion architecture</t>
        </is>
      </c>
      <c r="C5" s="9" t="inlineStr">
        <is>
          <t>Why three layers? What specifically belongs in Bronze that must NOT be cleaned there?</t>
        </is>
      </c>
      <c r="D5" s="10" t="inlineStr">
        <is>
          <t>1</t>
        </is>
      </c>
      <c r="E5" s="12" t="inlineStr"/>
      <c r="F5" s="13" t="inlineStr"/>
    </row>
    <row r="6" ht="36" customHeight="1">
      <c r="A6" s="10" t="n">
        <v>2</v>
      </c>
      <c r="B6" s="9" t="inlineStr">
        <is>
          <t>Synthetic data and its limits</t>
        </is>
      </c>
      <c r="C6" s="9" t="inlineStr">
        <is>
          <t>What can't you claim about a model or a pipeline validated only on Synthea data?</t>
        </is>
      </c>
      <c r="D6" s="10" t="inlineStr">
        <is>
          <t>1</t>
        </is>
      </c>
      <c r="E6" s="12" t="inlineStr"/>
      <c r="F6" s="13" t="inlineStr">
        <is>
          <t>Nothing about real-world performance: Synthea has no typos, no interface replays, no duplicate registrations, and names carry numeric suffixes so identity matching is trivially clean. The defects are the ones I injected, so catch rate measures my checks against my own defect list, not against reality. Also learned: synthetic does not mean deterministic - the generator has a 'now' that follows the wall clock unless pinned (see #13).</t>
        </is>
      </c>
    </row>
    <row r="7" ht="36" customHeight="1">
      <c r="A7" s="10" t="n">
        <v>3</v>
      </c>
      <c r="B7" s="9" t="inlineStr">
        <is>
          <t>Clinical code systems</t>
        </is>
      </c>
      <c r="C7" s="9" t="inlineStr">
        <is>
          <t>When do you use SNOMED vs LOINC vs RxNorm, and why do you join on codes rather than display names?</t>
        </is>
      </c>
      <c r="D7" s="10" t="inlineStr">
        <is>
          <t>1</t>
        </is>
      </c>
      <c r="E7" s="12" t="inlineStr"/>
      <c r="F7" s="13" t="inlineStr"/>
    </row>
    <row r="8" ht="36" customHeight="1">
      <c r="A8" s="10" t="n">
        <v>4</v>
      </c>
      <c r="B8" s="9" t="inlineStr">
        <is>
          <t>HEDIS / quality measures</t>
        </is>
      </c>
      <c r="C8" s="9" t="inlineStr">
        <is>
          <t>What is the denominator and numerator of a comprehensive diabetes care A1c measure?</t>
        </is>
      </c>
      <c r="D8" s="10" t="inlineStr">
        <is>
          <t>1, 4</t>
        </is>
      </c>
      <c r="E8" s="12" t="inlineStr"/>
      <c r="F8" s="13" t="inlineStr"/>
    </row>
    <row r="9" ht="36" customHeight="1">
      <c r="A9" s="10" t="n">
        <v>5</v>
      </c>
      <c r="B9" s="9" t="inlineStr">
        <is>
          <t>Ground truth and evaluation</t>
        </is>
      </c>
      <c r="C9" s="9" t="inlineStr">
        <is>
          <t>Why inject defects and log them, rather than just running checks and reporting what you found?</t>
        </is>
      </c>
      <c r="D9" s="10" t="inlineStr">
        <is>
          <t>2</t>
        </is>
      </c>
      <c r="E9" s="12" t="inlineStr"/>
      <c r="F9" s="13" t="inlineStr"/>
    </row>
    <row r="10" ht="36" customHeight="1">
      <c r="A10" s="10" t="n">
        <v>6</v>
      </c>
      <c r="B10" s="9" t="inlineStr">
        <is>
          <t>Idempotency</t>
        </is>
      </c>
      <c r="C10" s="9" t="inlineStr">
        <is>
          <t>Why does corrupt.py have to be re-runnable, and what breaks if it isn't?</t>
        </is>
      </c>
      <c r="D10" s="10" t="inlineStr">
        <is>
          <t>2</t>
        </is>
      </c>
      <c r="E10" s="12" t="inlineStr"/>
      <c r="F10" s="13" t="inlineStr"/>
    </row>
    <row r="11" ht="36" customHeight="1">
      <c r="A11" s="10" t="n">
        <v>7</v>
      </c>
      <c r="B11" s="9" t="inlineStr">
        <is>
          <t>Quarantine over dropping</t>
        </is>
      </c>
      <c r="C11" s="9" t="inlineStr">
        <is>
          <t>Someone asks why a patient is missing from the care-gap report. Walk them through how you'd answer.</t>
        </is>
      </c>
      <c r="D11" s="10" t="inlineStr">
        <is>
          <t>3</t>
        </is>
      </c>
      <c r="E11" s="12" t="inlineStr"/>
      <c r="F11" s="13" t="inlineStr"/>
    </row>
    <row r="12" ht="36" customHeight="1">
      <c r="A12" s="10" t="n">
        <v>8</v>
      </c>
      <c r="B12" s="9" t="inlineStr">
        <is>
          <t>Referential integrity</t>
        </is>
      </c>
      <c r="C12" s="9" t="inlineStr">
        <is>
          <t>What is an orphan record, and why is deleting one worse than keeping it aside?</t>
        </is>
      </c>
      <c r="D12" s="10" t="inlineStr">
        <is>
          <t>3</t>
        </is>
      </c>
      <c r="E12" s="12" t="inlineStr"/>
      <c r="F12" s="13" t="inlineStr"/>
    </row>
    <row r="13" ht="36" customHeight="1">
      <c r="A13" s="10" t="n">
        <v>9</v>
      </c>
      <c r="B13" s="9" t="inlineStr">
        <is>
          <t>Patient identity resolution</t>
        </is>
      </c>
      <c r="C13" s="9" t="inlineStr">
        <is>
          <t>Why does DQ6 route to a human instead of merging? What is the specific harm of a wrong merge?</t>
        </is>
      </c>
      <c r="D13" s="10" t="inlineStr">
        <is>
          <t>3</t>
        </is>
      </c>
      <c r="E13" s="12" t="inlineStr"/>
      <c r="F13" s="13" t="inlineStr"/>
    </row>
    <row r="14" ht="36" customHeight="1">
      <c r="A14" s="10" t="n">
        <v>10</v>
      </c>
      <c r="B14" s="9" t="inlineStr">
        <is>
          <t>Remediation vs. overwriting</t>
        </is>
      </c>
      <c r="C14" s="9" t="inlineStr">
        <is>
          <t>Why keep original_value? Who ever needs it?</t>
        </is>
      </c>
      <c r="D14" s="10" t="inlineStr">
        <is>
          <t>3</t>
        </is>
      </c>
      <c r="E14" s="12" t="inlineStr"/>
      <c r="F14" s="13" t="inlineStr"/>
    </row>
    <row r="15" ht="36" customHeight="1">
      <c r="A15" s="10" t="n">
        <v>11</v>
      </c>
      <c r="B15" s="9" t="inlineStr">
        <is>
          <t>Null handling in SQL</t>
        </is>
      </c>
      <c r="C15" s="9" t="inlineStr">
        <is>
          <t>How does a naive inner join silently delete the highest-risk patients from your report?</t>
        </is>
      </c>
      <c r="D15" s="10" t="inlineStr">
        <is>
          <t>3, 4</t>
        </is>
      </c>
      <c r="E15" s="12" t="inlineStr"/>
      <c r="F15" s="13" t="inlineStr"/>
    </row>
    <row r="16" ht="36" customHeight="1">
      <c r="A16" s="10" t="n">
        <v>12</v>
      </c>
      <c r="B16" s="9" t="inlineStr">
        <is>
          <t>Cohort definition</t>
        </is>
      </c>
      <c r="C16" s="9" t="inlineStr">
        <is>
          <t>Defend your definition of 'diabetic patient'. What would change if you'd chosen the other one?</t>
        </is>
      </c>
      <c r="D16" s="10" t="inlineStr">
        <is>
          <t>4</t>
        </is>
      </c>
      <c r="E16" s="12" t="inlineStr"/>
      <c r="F16" s="13" t="inlineStr"/>
    </row>
    <row r="17" ht="36" customHeight="1">
      <c r="A17" s="10" t="n">
        <v>13</v>
      </c>
      <c r="B17" s="9" t="inlineStr">
        <is>
          <t>Reproducibility</t>
        </is>
      </c>
      <c r="C17" s="9" t="inlineStr">
        <is>
          <t>A reviewer clones your repo and runs it. Do they get your README's numbers? What guarantees that?</t>
        </is>
      </c>
      <c r="D17" s="10" t="inlineStr">
        <is>
          <t>1, 4</t>
        </is>
      </c>
      <c r="E17" s="12" t="inlineStr"/>
      <c r="F17" s="13" t="inlineStr">
        <is>
          <t>Only if every source of randomness AND every source of time is pinned. I tested it: -s alone failed four weeks later (1,151 patients, not 1,142) because Synthea's clinician seed, reference date and end date all default to the wall clock. Now -s -cs -r -e are all fixed and two runs match in content. 'Reproducible' means same content, not same bytes - the export is multi-threaded so row order varies; verify with a sorted diff or DuckDB EXCEPT, never md5. The README numbers are guaranteed by the pinned command in D2 plus the Bronze row-count check, not by a claim.</t>
        </is>
      </c>
    </row>
    <row r="18" ht="36" customHeight="1">
      <c r="A18" s="10" t="n">
        <v>14</v>
      </c>
      <c r="B18" s="9" t="inlineStr">
        <is>
          <t>Minimum necessary standard</t>
        </is>
      </c>
      <c r="C18" s="9" t="inlineStr">
        <is>
          <t>What is it, and why is this demo NOT HIPAA compliant?</t>
        </is>
      </c>
      <c r="D18" s="10" t="inlineStr">
        <is>
          <t>6</t>
        </is>
      </c>
      <c r="E18" s="12" t="inlineStr"/>
      <c r="F18" s="13" t="inlineStr"/>
    </row>
    <row r="19" ht="36" customHeight="1">
      <c r="A19" s="10" t="n">
        <v>15</v>
      </c>
      <c r="B19" s="9" t="inlineStr">
        <is>
          <t>Server-side authorization</t>
        </is>
      </c>
      <c r="C19" s="9" t="inlineStr">
        <is>
          <t>Why is filtering columns in the browser not access control?</t>
        </is>
      </c>
      <c r="D19" s="10" t="inlineStr">
        <is>
          <t>6</t>
        </is>
      </c>
      <c r="E19" s="12" t="inlineStr"/>
      <c r="F19" s="13" t="inlineStr"/>
    </row>
    <row r="20" ht="36" customHeight="1">
      <c r="A20" s="10" t="n">
        <v>16</v>
      </c>
      <c r="B20" s="9" t="inlineStr">
        <is>
          <t>Row vs column level security</t>
        </is>
      </c>
      <c r="C20" s="9" t="inlineStr">
        <is>
          <t>Give an example where column filtering alone still leaks information.</t>
        </is>
      </c>
      <c r="D20" s="10" t="inlineStr">
        <is>
          <t>6</t>
        </is>
      </c>
      <c r="E20" s="12" t="inlineStr"/>
      <c r="F20" s="13" t="inlineStr"/>
    </row>
    <row r="21" ht="36" customHeight="1">
      <c r="A21" s="10" t="n">
        <v>17</v>
      </c>
      <c r="B21" s="9" t="inlineStr">
        <is>
          <t>Audit logging</t>
        </is>
      </c>
      <c r="C21" s="9" t="inlineStr">
        <is>
          <t>What do clinical systems log about data access, and why?</t>
        </is>
      </c>
      <c r="D21" s="10" t="inlineStr">
        <is>
          <t>6, 7</t>
        </is>
      </c>
      <c r="E21" s="12" t="inlineStr"/>
      <c r="F21" s="13" t="inlineStr"/>
    </row>
    <row r="22" ht="36" customHeight="1">
      <c r="A22" s="10" t="n">
        <v>18</v>
      </c>
      <c r="B22" s="9" t="inlineStr">
        <is>
          <t>SQL injection / SELECT-only</t>
        </is>
      </c>
      <c r="C22" s="9" t="inlineStr">
        <is>
          <t>How do you enforce read-only? Why is an allowlist better than blocking dangerous keywords?</t>
        </is>
      </c>
      <c r="D22" s="10" t="inlineStr">
        <is>
          <t>7</t>
        </is>
      </c>
      <c r="E22" s="12" t="inlineStr"/>
      <c r="F22" s="13" t="inlineStr"/>
    </row>
    <row r="23" ht="36" customHeight="1">
      <c r="A23" s="10" t="n">
        <v>19</v>
      </c>
      <c r="B23" s="9" t="inlineStr">
        <is>
          <t>Text-to-SQL failure modes</t>
        </is>
      </c>
      <c r="C23" s="9" t="inlineStr">
        <is>
          <t>How do you stop the model inventing a table that doesn't exist? What happens when it does anyway?</t>
        </is>
      </c>
      <c r="D23" s="10" t="inlineStr">
        <is>
          <t>7</t>
        </is>
      </c>
      <c r="E23" s="12" t="inlineStr"/>
      <c r="F23" s="13" t="inlineStr"/>
    </row>
    <row r="24" ht="36" customHeight="1">
      <c r="A24" s="10" t="n">
        <v>20</v>
      </c>
      <c r="B24" s="9" t="inlineStr">
        <is>
          <t>Honest error handling</t>
        </is>
      </c>
      <c r="C24" s="9" t="inlineStr">
        <is>
          <t>Why does 'I can't answer that, but here's what I can answer' beat a stack trace or a wrong answer?</t>
        </is>
      </c>
      <c r="D24" s="10" t="inlineStr">
        <is>
          <t>7</t>
        </is>
      </c>
      <c r="E24" s="12" t="inlineStr"/>
      <c r="F24" s="13" t="inlineStr"/>
    </row>
    <row r="25" ht="36" customHeight="1">
      <c r="A25" s="10" t="n">
        <v>21</v>
      </c>
      <c r="B25" s="9" t="inlineStr">
        <is>
          <t>Scale trade-offs</t>
        </is>
      </c>
      <c r="C25" s="9" t="inlineStr">
        <is>
          <t>Everything here runs on one machine. What breaks first at 10 million patients, and what would you change?</t>
        </is>
      </c>
      <c r="D25" s="10" t="inlineStr">
        <is>
          <t>7</t>
        </is>
      </c>
      <c r="E25" s="12" t="inlineStr"/>
      <c r="F25" s="13" t="inlineStr"/>
    </row>
  </sheetData>
  <autoFilter ref="A4:F25"/>
  <mergeCells count="2">
    <mergeCell ref="A2:F2"/>
    <mergeCell ref="A1:F1"/>
  </mergeCells>
  <conditionalFormatting sqref="E5:E25">
    <cfRule type="cellIs" priority="1" operator="lessThanOrEqual" dxfId="2">
      <formula>3</formula>
    </cfRule>
    <cfRule type="cellIs" priority="2" operator="greaterThanOrEqual" dxfId="0">
      <formula>4</formula>
    </cfRule>
  </conditionalFormatting>
  <dataValidations count="1">
    <dataValidation sqref="E5:E25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2026-08-23T17:16:29Z</dcterms:created>
  <dcterms:modified xsi:type="dcterms:W3CDTF">2026-09-30T16:36:58Z</dcterms:modified>
</cp:coreProperties>
</file>